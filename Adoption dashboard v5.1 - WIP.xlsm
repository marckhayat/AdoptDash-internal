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timelineCaches/timelineCache1.xml" ContentType="application/vnd.ms-excel.timelineCache+xml"/>
  <Override PartName="/xl/timelineCaches/timelineCache2.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pivotTables/pivotTable1.xml" ContentType="application/vnd.openxmlformats-officedocument.spreadsheetml.pivotTable+xml"/>
  <Override PartName="/xl/drawings/drawing2.xml" ContentType="application/vnd.openxmlformats-officedocument.drawing+xml"/>
  <Override PartName="/xl/ctrlProps/ctrlProp5.xml" ContentType="application/vnd.ms-excel.controlproperties+xml"/>
  <Override PartName="/xl/slicers/slicer1.xml" ContentType="application/vnd.ms-excel.slicer+xml"/>
  <Override PartName="/xl/timelines/timeline1.xml" ContentType="application/vnd.ms-excel.timeline+xml"/>
  <Override PartName="/xl/comments2.xml" ContentType="application/vnd.openxmlformats-officedocument.spreadsheetml.comment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Ex2.xml" ContentType="application/vnd.ms-office.chartex+xml"/>
  <Override PartName="/xl/charts/style2.xml" ContentType="application/vnd.ms-office.chartstyle+xml"/>
  <Override PartName="/xl/charts/colors2.xml" ContentType="application/vnd.ms-office.chartcolorstyle+xml"/>
  <Override PartName="/xl/charts/chartEx3.xml" ContentType="application/vnd.ms-office.chartex+xml"/>
  <Override PartName="/xl/charts/style3.xml" ContentType="application/vnd.ms-office.chartstyle+xml"/>
  <Override PartName="/xl/charts/colors3.xml" ContentType="application/vnd.ms-office.chartcolorstyle+xml"/>
  <Override PartName="/xl/charts/chartEx4.xml" ContentType="application/vnd.ms-office.chartex+xml"/>
  <Override PartName="/xl/charts/style4.xml" ContentType="application/vnd.ms-office.chartstyle+xml"/>
  <Override PartName="/xl/charts/colors4.xml" ContentType="application/vnd.ms-office.chartcolorstyle+xml"/>
  <Override PartName="/xl/charts/chartEx5.xml" ContentType="application/vnd.ms-office.chartex+xml"/>
  <Override PartName="/xl/charts/style5.xml" ContentType="application/vnd.ms-office.chartstyle+xml"/>
  <Override PartName="/xl/charts/colors5.xml" ContentType="application/vnd.ms-office.chartcolorstyle+xml"/>
  <Override PartName="/xl/charts/chartEx6.xml" ContentType="application/vnd.ms-office.chartex+xml"/>
  <Override PartName="/xl/charts/style6.xml" ContentType="application/vnd.ms-office.chartstyle+xml"/>
  <Override PartName="/xl/charts/colors6.xml" ContentType="application/vnd.ms-office.chartcolorstyle+xml"/>
  <Override PartName="/xl/charts/chartEx7.xml" ContentType="application/vnd.ms-office.chartex+xml"/>
  <Override PartName="/xl/charts/style7.xml" ContentType="application/vnd.ms-office.chartstyle+xml"/>
  <Override PartName="/xl/charts/colors7.xml" ContentType="application/vnd.ms-office.chartcolorstyle+xml"/>
  <Override PartName="/xl/charts/chartEx8.xml" ContentType="application/vnd.ms-office.chartex+xml"/>
  <Override PartName="/xl/charts/style8.xml" ContentType="application/vnd.ms-office.chartstyle+xml"/>
  <Override PartName="/xl/charts/colors8.xml" ContentType="application/vnd.ms-office.chartcolorstyle+xml"/>
  <Override PartName="/xl/charts/chartEx9.xml" ContentType="application/vnd.ms-office.chartex+xml"/>
  <Override PartName="/xl/charts/style9.xml" ContentType="application/vnd.ms-office.chartstyle+xml"/>
  <Override PartName="/xl/charts/colors9.xml" ContentType="application/vnd.ms-office.chartcolorstyle+xml"/>
  <Override PartName="/xl/charts/chartEx10.xml" ContentType="application/vnd.ms-office.chartex+xml"/>
  <Override PartName="/xl/charts/style10.xml" ContentType="application/vnd.ms-office.chartstyle+xml"/>
  <Override PartName="/xl/charts/colors10.xml" ContentType="application/vnd.ms-office.chartcolorstyle+xml"/>
  <Override PartName="/xl/charts/chartEx11.xml" ContentType="application/vnd.ms-office.chartex+xml"/>
  <Override PartName="/xl/charts/style11.xml" ContentType="application/vnd.ms-office.chartstyle+xml"/>
  <Override PartName="/xl/charts/colors11.xml" ContentType="application/vnd.ms-office.chartcolorstyle+xml"/>
  <Override PartName="/xl/charts/chartEx12.xml" ContentType="application/vnd.ms-office.chartex+xml"/>
  <Override PartName="/xl/charts/style12.xml" ContentType="application/vnd.ms-office.chartstyle+xml"/>
  <Override PartName="/xl/charts/colors12.xml" ContentType="application/vnd.ms-office.chartcolorstyle+xml"/>
  <Override PartName="/xl/charts/chartEx13.xml" ContentType="application/vnd.ms-office.chartex+xml"/>
  <Override PartName="/xl/charts/style13.xml" ContentType="application/vnd.ms-office.chartstyle+xml"/>
  <Override PartName="/xl/charts/colors13.xml" ContentType="application/vnd.ms-office.chartcolorstyle+xml"/>
  <Override PartName="/xl/charts/chartEx14.xml" ContentType="application/vnd.ms-office.chartex+xml"/>
  <Override PartName="/xl/charts/style14.xml" ContentType="application/vnd.ms-office.chartstyle+xml"/>
  <Override PartName="/xl/charts/colors14.xml" ContentType="application/vnd.ms-office.chartcolorstyle+xml"/>
  <Override PartName="/xl/charts/chart1.xml" ContentType="application/vnd.openxmlformats-officedocument.drawingml.chart+xml"/>
  <Override PartName="/xl/charts/style15.xml" ContentType="application/vnd.ms-office.chartstyle+xml"/>
  <Override PartName="/xl/charts/colors15.xml" ContentType="application/vnd.ms-office.chartcolorstyle+xml"/>
  <Override PartName="/xl/charts/chartEx15.xml" ContentType="application/vnd.ms-office.chartex+xml"/>
  <Override PartName="/xl/charts/style16.xml" ContentType="application/vnd.ms-office.chartstyle+xml"/>
  <Override PartName="/xl/charts/colors16.xml" ContentType="application/vnd.ms-office.chartcolorstyle+xml"/>
  <Override PartName="/xl/charts/chartEx16.xml" ContentType="application/vnd.ms-office.chartex+xml"/>
  <Override PartName="/xl/charts/style17.xml" ContentType="application/vnd.ms-office.chartstyle+xml"/>
  <Override PartName="/xl/charts/colors17.xml" ContentType="application/vnd.ms-office.chartcolorstyle+xml"/>
  <Override PartName="/xl/drawings/drawing5.xml" ContentType="application/vnd.openxmlformats-officedocument.drawing+xml"/>
  <Override PartName="/xl/ctrlProps/ctrlProp12.xml" ContentType="application/vnd.ms-excel.controlproperties+xml"/>
  <Override PartName="/xl/charts/chart2.xml" ContentType="application/vnd.openxmlformats-officedocument.drawingml.chart+xml"/>
  <Override PartName="/xl/charts/style18.xml" ContentType="application/vnd.ms-office.chartstyle+xml"/>
  <Override PartName="/xl/charts/colors18.xml" ContentType="application/vnd.ms-office.chartcolorstyle+xml"/>
  <Override PartName="/xl/charts/chart3.xml" ContentType="application/vnd.openxmlformats-officedocument.drawingml.chart+xml"/>
  <Override PartName="/xl/charts/style19.xml" ContentType="application/vnd.ms-office.chartstyle+xml"/>
  <Override PartName="/xl/charts/colors19.xml" ContentType="application/vnd.ms-office.chartcolorstyle+xml"/>
  <Override PartName="/xl/charts/chart4.xml" ContentType="application/vnd.openxmlformats-officedocument.drawingml.chart+xml"/>
  <Override PartName="/xl/charts/style20.xml" ContentType="application/vnd.ms-office.chartstyle+xml"/>
  <Override PartName="/xl/charts/colors20.xml" ContentType="application/vnd.ms-office.chartcolorstyle+xml"/>
  <Override PartName="/xl/charts/chart5.xml" ContentType="application/vnd.openxmlformats-officedocument.drawingml.chart+xml"/>
  <Override PartName="/xl/charts/style21.xml" ContentType="application/vnd.ms-office.chartstyle+xml"/>
  <Override PartName="/xl/charts/colors21.xml" ContentType="application/vnd.ms-office.chartcolorstyle+xml"/>
  <Override PartName="/xl/charts/chart6.xml" ContentType="application/vnd.openxmlformats-officedocument.drawingml.chart+xml"/>
  <Override PartName="/xl/charts/style22.xml" ContentType="application/vnd.ms-office.chartstyle+xml"/>
  <Override PartName="/xl/charts/colors22.xml" ContentType="application/vnd.ms-office.chartcolorstyle+xml"/>
  <Override PartName="/xl/charts/chart7.xml" ContentType="application/vnd.openxmlformats-officedocument.drawingml.chart+xml"/>
  <Override PartName="/xl/charts/style23.xml" ContentType="application/vnd.ms-office.chartstyle+xml"/>
  <Override PartName="/xl/charts/colors23.xml" ContentType="application/vnd.ms-office.chartcolorstyle+xml"/>
  <Override PartName="/xl/charts/chart8.xml" ContentType="application/vnd.openxmlformats-officedocument.drawingml.chart+xml"/>
  <Override PartName="/xl/charts/style24.xml" ContentType="application/vnd.ms-office.chartstyle+xml"/>
  <Override PartName="/xl/charts/colors24.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mc:AlternateContent xmlns:mc="http://schemas.openxmlformats.org/markup-compatibility/2006">
    <mc:Choice Requires="x15">
      <x15ac:absPath xmlns:x15ac="http://schemas.microsoft.com/office/spreadsheetml/2010/11/ac" url="https://cisco-my.sharepoint.com/personal/makhayat_cisco_com/Documents/Documents/AI projects/Adoption Dashboard/"/>
    </mc:Choice>
  </mc:AlternateContent>
  <xr:revisionPtr revIDLastSave="4622" documentId="8_{C0060810-F460-45DC-A925-7FBB4DDB6F53}" xr6:coauthVersionLast="47" xr6:coauthVersionMax="47" xr10:uidLastSave="{CF8E6345-AC58-4BEC-B6B1-1DF5F70CE177}"/>
  <workbookProtection workbookAlgorithmName="SHA-512" workbookHashValue="IWtdEDd1vR+kl+Uhb2Tu2sUSzZ5Qk+zPE9av2acM1NOl88rj7Z7Wl5NTbHLgoAUK9Ft/rPuHVDksDauT+IHIIg==" workbookSaltValue="zujv6xWh0gOj8snscjKyuQ==" workbookSpinCount="100000" lockStructure="1"/>
  <bookViews>
    <workbookView xWindow="-5700" yWindow="-21710" windowWidth="38620" windowHeight="21100" xr2:uid="{343050AD-8C86-4AFC-8314-5DF27C7AF1D7}"/>
  </bookViews>
  <sheets>
    <sheet name="Instructions" sheetId="7" r:id="rId1"/>
    <sheet name="Overview" sheetId="6" state="hidden" r:id="rId2"/>
    <sheet name="Details" sheetId="5" state="hidden" r:id="rId3"/>
    <sheet name="Customer" sheetId="18" state="hidden" r:id="rId4"/>
    <sheet name="PVI" sheetId="13" state="hidden" r:id="rId5"/>
    <sheet name="Lifecycle" sheetId="16" state="hidden" r:id="rId6"/>
    <sheet name="CPI Adopt" sheetId="17" state="hidden" r:id="rId7"/>
    <sheet name="Source" sheetId="1" state="hidden" r:id="rId8"/>
    <sheet name="Data" sheetId="3" state="hidden" r:id="rId9"/>
    <sheet name="Ref" sheetId="15" state="hidden" r:id="rId10"/>
    <sheet name="Disclaimer" sheetId="12" r:id="rId11"/>
  </sheets>
  <definedNames>
    <definedName name="_xlnm._FilterDatabase" localSheetId="7" hidden="1">Source!$A$1:$AH$2</definedName>
    <definedName name="_xlchart.v1.0" hidden="1">Ref!$Q$3:$Q$9</definedName>
    <definedName name="_xlchart.v1.1" hidden="1">Ref!$T$2</definedName>
    <definedName name="_xlchart.v1.10" hidden="1">Ref!$V$2</definedName>
    <definedName name="_xlchart.v1.11" hidden="1">Ref!$V$3:$V$9</definedName>
    <definedName name="_xlchart.v1.12" hidden="1">Ref!$Q$3:$Q$9</definedName>
    <definedName name="_xlchart.v1.13" hidden="1">Ref!$W$2</definedName>
    <definedName name="_xlchart.v1.14" hidden="1">Ref!$W$3:$W$9</definedName>
    <definedName name="_xlchart.v1.15" hidden="1">Ref!$Q$3:$Q$9</definedName>
    <definedName name="_xlchart.v1.16" hidden="1">Ref!$X$2</definedName>
    <definedName name="_xlchart.v1.17" hidden="1">Ref!$X$3:$X$9</definedName>
    <definedName name="_xlchart.v1.18" hidden="1">Ref!$AA$2</definedName>
    <definedName name="_xlchart.v1.19" hidden="1">Ref!$AA$3:$AA$9</definedName>
    <definedName name="_xlchart.v1.2" hidden="1">Ref!$T$3:$T$9</definedName>
    <definedName name="_xlchart.v1.20" hidden="1">Ref!$Q$3:$Q$9</definedName>
    <definedName name="_xlchart.v1.21" hidden="1">Ref!$Q$3:$Q$9</definedName>
    <definedName name="_xlchart.v1.22" hidden="1">Ref!$Z$2</definedName>
    <definedName name="_xlchart.v1.23" hidden="1">Ref!$Z$3:$Z$9</definedName>
    <definedName name="_xlchart.v1.24" hidden="1">Ref!$AD$2</definedName>
    <definedName name="_xlchart.v1.25" hidden="1">Ref!$AD$3:$AD$9</definedName>
    <definedName name="_xlchart.v1.26" hidden="1">Ref!$Q$3:$Q$9</definedName>
    <definedName name="_xlchart.v1.27" hidden="1">Ref!$AE$2</definedName>
    <definedName name="_xlchart.v1.28" hidden="1">Ref!$AE$3:$AE$9</definedName>
    <definedName name="_xlchart.v1.29" hidden="1">Ref!$Q$3:$Q$9</definedName>
    <definedName name="_xlchart.v1.3" hidden="1">Ref!$Q$3:$Q$9</definedName>
    <definedName name="_xlchart.v1.30" hidden="1">Ref!$AF$2</definedName>
    <definedName name="_xlchart.v1.31" hidden="1">Ref!$AF$3:$AF$9</definedName>
    <definedName name="_xlchart.v1.32" hidden="1">Ref!$Q$3:$Q$9</definedName>
    <definedName name="_xlchart.v1.33" hidden="1">Ref!$AB$2</definedName>
    <definedName name="_xlchart.v1.34" hidden="1">Ref!$AB$3:$AB$9</definedName>
    <definedName name="_xlchart.v1.35" hidden="1">Ref!$Q$3:$Q$9</definedName>
    <definedName name="_xlchart.v1.36" hidden="1">Ref!$AG$2</definedName>
    <definedName name="_xlchart.v1.37" hidden="1">Ref!$AG$3:$AG$9</definedName>
    <definedName name="_xlchart.v1.38" hidden="1">Ref!$Q$3:$Q$9</definedName>
    <definedName name="_xlchart.v1.39" hidden="1">Ref!$Q$3:$Q$9</definedName>
    <definedName name="_xlchart.v1.4" hidden="1">Ref!$R$2</definedName>
    <definedName name="_xlchart.v1.40" hidden="1">Ref!$U$2</definedName>
    <definedName name="_xlchart.v1.41" hidden="1">Ref!$U$3:$U$9</definedName>
    <definedName name="_xlchart.v1.42" hidden="1">Ref!$Q$3:$Q$9</definedName>
    <definedName name="_xlchart.v1.43" hidden="1">Ref!$Y$2</definedName>
    <definedName name="_xlchart.v1.44" hidden="1">Ref!$Y$3:$Y$9</definedName>
    <definedName name="_xlchart.v1.45" hidden="1">Ref!$AC$2</definedName>
    <definedName name="_xlchart.v1.46" hidden="1">Ref!$AC$3:$AC$9</definedName>
    <definedName name="_xlchart.v1.47" hidden="1">Ref!$Q$3:$Q$9</definedName>
    <definedName name="_xlchart.v1.5" hidden="1">Ref!$R$3:$R$9</definedName>
    <definedName name="_xlchart.v1.6" hidden="1">Ref!$Q$3:$Q$9</definedName>
    <definedName name="_xlchart.v1.7" hidden="1">Ref!$S$2</definedName>
    <definedName name="_xlchart.v1.8" hidden="1">Ref!$S$3:$S$9</definedName>
    <definedName name="_xlchart.v1.9" hidden="1">Ref!$Q$3:$Q$9</definedName>
    <definedName name="_xleta.AND" hidden="1" xlm="1">#NAME?</definedName>
    <definedName name="_xleta.COUNT" hidden="1" xlm="1">#NAME?</definedName>
    <definedName name="_xleta.DATE" hidden="1" xlm="1">#NAME?</definedName>
    <definedName name="_xleta.FILTER" hidden="1" xlm="1">#NAME?</definedName>
    <definedName name="_xleta.IF" hidden="1" xlm="1">#NAME?</definedName>
    <definedName name="_xleta.IFERROR" hidden="1" xlm="1">#NAME?</definedName>
    <definedName name="_xleta.ISNUMBER" hidden="1" xlm="1">#NAME?</definedName>
    <definedName name="_xleta.LOG" hidden="1" xlm="1">#NAME?</definedName>
    <definedName name="_xleta.MAX" hidden="1" xlm="1">#NAME?</definedName>
    <definedName name="_xleta.MONTH" hidden="1" xlm="1">#NAME?</definedName>
    <definedName name="_xleta.N" hidden="1" xlm="1">#NAME?</definedName>
    <definedName name="_xleta.ROW" hidden="1" xlm="1">#NAME?</definedName>
    <definedName name="_xleta.SUMPRODUCT" hidden="1" xlm="1">#NAME?</definedName>
    <definedName name="_xleta.TODAY" hidden="1" xlm="1">#NAME?</definedName>
    <definedName name="_xleta.UNIQUE" hidden="1" xlm="1">#NAME?</definedName>
    <definedName name="_xlpm.a" hidden="1" xlm="1">#NAME?</definedName>
    <definedName name="_xlpm.all_conditions_met" hidden="1" xlm="1">#NAME?</definedName>
    <definedName name="_xlpm.C" hidden="1" xlm="1">#NAME?</definedName>
    <definedName name="_xlpm.combined_values" hidden="1" xlm="1">#NAME?</definedName>
    <definedName name="_xlpm.combined_values_raw" hidden="1" xlm="1">#NAME?</definedName>
    <definedName name="_xlpm.combinedCondition" hidden="1" xlm="1">#NAME?</definedName>
    <definedName name="_xlpm.completionFlag" hidden="1" xlm="1">#NAME?</definedName>
    <definedName name="_xlpm.CR" hidden="1" xlm="1">#NAME?</definedName>
    <definedName name="_xlpm.CR_" hidden="1" xlm="1">#NAME?</definedName>
    <definedName name="_xlpm.CR_P" hidden="1" xlm="1">#NAME?</definedName>
    <definedName name="_xlpm.CR_PA" hidden="1" xlm="1">#NAME?</definedName>
    <definedName name="_xlpm.CR_PAR" hidden="1" xlm="1">#NAME?</definedName>
    <definedName name="_xlpm.CR_PART" hidden="1" xlm="1">#NAME?</definedName>
    <definedName name="_xlpm.CR_PARTY" hidden="1" xlm="1">#NAME?</definedName>
    <definedName name="_xlpm.CR_PARTY_" hidden="1" xlm="1">#NAME?</definedName>
    <definedName name="_xlpm.CR_PARTY_I" hidden="1" xlm="1">#NAME?</definedName>
    <definedName name="_xlpm.CR_PARTY_ID" hidden="1" xlm="1">#NAME?</definedName>
    <definedName name="_xlpm.cr_party_ids" hidden="1" xlm="1">#NAME?</definedName>
    <definedName name="_xlpm.criteriaDomain" hidden="1" xlm="1">#NAME?</definedName>
    <definedName name="_xlpm.criteriaEarned" hidden="1" xlm="1">#NAME?</definedName>
    <definedName name="_xlpm.criteriaEligible" hidden="1" xlm="1">#NAME?</definedName>
    <definedName name="_xlpm.criteriaLifecycleStatus" hidden="1" xlm="1">#NAME?</definedName>
    <definedName name="_xlpm.criteriaOfferOptedIn" hidden="1" xlm="1">#NAME?</definedName>
    <definedName name="_xlpm.criteriaStage" hidden="1" xlm="1">#NAME?</definedName>
    <definedName name="_xlpm.criteriaSubTrack" hidden="1" xlm="1">#NAME?</definedName>
    <definedName name="_xlpm.criteriaTrack" hidden="1" xlm="1">#NAME?</definedName>
    <definedName name="_xlpm.criteriaUCCondition" hidden="1" xlm="1">#NAME?</definedName>
    <definedName name="_xlpm.currentBookingAmount" hidden="1" xlm="1">#NAME?</definedName>
    <definedName name="_xlpm.currentCRPartyID" hidden="1" xlm="1">#NAME?</definedName>
    <definedName name="_xlpm.CurrentID" hidden="1" xlm="1">#NAME?</definedName>
    <definedName name="_xlpm.currentLifecycleOptInStatus" hidden="1" xlm="1">#NAME?</definedName>
    <definedName name="_xlpm.currentPair" hidden="1" xlm="1">#NAME?</definedName>
    <definedName name="_xlpm.currentSta" hidden="1" xlm="1">#NAME?</definedName>
    <definedName name="_xlpm.currentStag" hidden="1" xlm="1">#NAME?</definedName>
    <definedName name="_xlpm.currentStage" hidden="1" xlm="1">#NAME?</definedName>
    <definedName name="_xlpm.currentStageCriteria" hidden="1" xlm="1">#NAME?</definedName>
    <definedName name="_xlpm.currentStageRange" hidden="1" xlm="1">#NAME?</definedName>
    <definedName name="_xlpm.currentStat" hidden="1" xlm="1">#NAME?</definedName>
    <definedName name="_xlpm.currentStatu" hidden="1" xlm="1">#NAME?</definedName>
    <definedName name="_xlpm.currentStatus" hidden="1" xlm="1">#NAME?</definedName>
    <definedName name="_xlpm.CurrentUniqueCRID" hidden="1" xlm="1">#NAME?</definedName>
    <definedName name="_xlpm.currentWeek" hidden="1" xlm="1">#NAME?</definedName>
    <definedName name="_xlpm.currentYear" hidden="1" xlm="1">#NAME?</definedName>
    <definedName name="_xlpm.cust" hidden="1" xlm="1">#NAME?</definedName>
    <definedName name="_xlpm.customer_ids" hidden="1" xlm="1">#NAME?</definedName>
    <definedName name="_xlpm.customerColumn" hidden="1" xlm="1">#NAME?</definedName>
    <definedName name="_xlpm.customerRow" hidden="1" xlm="1">#NAME?</definedName>
    <definedName name="_xlpm.data_range_B" hidden="1" xlm="1">#NAME?</definedName>
    <definedName name="_xlpm.data_range_D" hidden="1" xlm="1">#NAME?</definedName>
    <definedName name="_xlpm.data_range_E" hidden="1" xlm="1">#NAME?</definedName>
    <definedName name="_xlpm.date17MonthsAgoFromStartOfMonth" hidden="1" xlm="1">#NAME?</definedName>
    <definedName name="_xlpm.date17MonthsAgoFromThisartOfMonth" hidden="1" xlm="1">#NAME?</definedName>
    <definedName name="_xlpm.date17MonthsAgoFromThisfMonth" hidden="1" xlm="1">#NAME?</definedName>
    <definedName name="_xlpm.date17MonthsAgoFromThisMonth" hidden="1" xlm="1">#NAME?</definedName>
    <definedName name="_xlpm.date17MonthsAgoFromThisOfMonth" hidden="1" xlm="1">#NAME?</definedName>
    <definedName name="_xlpm.date17MonthsAgoFromThisrtOfMonth" hidden="1" xlm="1">#NAME?</definedName>
    <definedName name="_xlpm.date17MonthsAgoFromThisStartOfMonth" hidden="1" xlm="1">#NAME?</definedName>
    <definedName name="_xlpm.date17MonthsAgoFromThiStartOfMonth" hidden="1" xlm="1">#NAME?</definedName>
    <definedName name="_xlpm.date17MonthsAgoFromThistOfMonth" hidden="1" xlm="1">#NAME?</definedName>
    <definedName name="_xlpm.date17MonthsAgoFromThStartOfMonth" hidden="1" xlm="1">#NAME?</definedName>
    <definedName name="_xlpm.date17MonthsAgoFromTStartOfMonth" hidden="1" xlm="1">#NAME?</definedName>
    <definedName name="_xlpm.earned" hidden="1" xlm="1">#NAME?</definedName>
    <definedName name="_xlpm.ed" hidden="1" xlm="1">#NAME?</definedName>
    <definedName name="_xlpm.EligibleAndNetworkingCondition" hidden="1" xlm="1">#NAME?</definedName>
    <definedName name="_xlpm.eligibleStage" hidden="1" xlm="1">#NAME?</definedName>
    <definedName name="_xlpm.expiry" hidden="1" xlm="1">#NAME?</definedName>
    <definedName name="_xlpm.filled_ids" hidden="1" xlm="1">#NAME?</definedName>
    <definedName name="_xlpm.filled_tracks" hidden="1" xlm="1">#NAME?</definedName>
    <definedName name="_xlpm.FilledIDs" hidden="1" xlm="1">#NAME?</definedName>
    <definedName name="_xlpm.filledTracks" hidden="1" xlm="1">#NAME?</definedName>
    <definedName name="_xlpm.filtered_cars_data" hidden="1" xlm="1">#NAME?</definedName>
    <definedName name="_xlpm.filtered_combined" hidden="1" xlm="1">#NAME?</definedName>
    <definedName name="_xlpm.filtered_m" hidden="1" xlm="1">#NAME?</definedName>
    <definedName name="_xlpm.filtered_mi" hidden="1" xlm="1">#NAME?</definedName>
    <definedName name="_xlpm.filtered_mis" hidden="1" xlm="1">#NAME?</definedName>
    <definedName name="_xlpm.filtered_miss" hidden="1" xlm="1">#NAME?</definedName>
    <definedName name="_xlpm.filtered_misse" hidden="1" xlm="1">#NAME?</definedName>
    <definedName name="_xlpm.filtered_missed" hidden="1" xlm="1">#NAME?</definedName>
    <definedName name="_xlpm.filtered_missed_" hidden="1" xlm="1">#NAME?</definedName>
    <definedName name="_xlpm.filtered_missed_i" hidden="1" xlm="1">#NAME?</definedName>
    <definedName name="_xlpm.filtered_missed_in" hidden="1" xlm="1">#NAME?</definedName>
    <definedName name="_xlpm.filtered_missed_inc" hidden="1" xlm="1">#NAME?</definedName>
    <definedName name="_xlpm.filtered_missed_ince" hidden="1" xlm="1">#NAME?</definedName>
    <definedName name="_xlpm.filtered_missed_incen" hidden="1" xlm="1">#NAME?</definedName>
    <definedName name="_xlpm.filtered_missed_incent" hidden="1" xlm="1">#NAME?</definedName>
    <definedName name="_xlpm.filtered_missed_incenti" hidden="1" xlm="1">#NAME?</definedName>
    <definedName name="_xlpm.filtered_missed_incentiv" hidden="1" xlm="1">#NAME?</definedName>
    <definedName name="_xlpm.filtered_missed_incentive" hidden="1" xlm="1">#NAME?</definedName>
    <definedName name="_xlpm.filtered_missed_incentives" hidden="1" xlm="1">#NAME?</definedName>
    <definedName name="_xlpm.filtered_p_incentives" hidden="1" xlm="1">#NAME?</definedName>
    <definedName name="_xlpm.filtered_pmissed_incentives" hidden="1" xlm="1">#NAME?</definedName>
    <definedName name="_xlpm.filtered_po_incentives" hidden="1" xlm="1">#NAME?</definedName>
    <definedName name="_xlpm.filtered_pomissed_incentives" hidden="1" xlm="1">#NAME?</definedName>
    <definedName name="_xlpm.filtered_pot_incentives" hidden="1" xlm="1">#NAME?</definedName>
    <definedName name="_xlpm.filtered_potd_incentives" hidden="1" xlm="1">#NAME?</definedName>
    <definedName name="_xlpm.filtered_pote_incentives" hidden="1" xlm="1">#NAME?</definedName>
    <definedName name="_xlpm.filtered_poted_incentives" hidden="1" xlm="1">#NAME?</definedName>
    <definedName name="_xlpm.filtered_poten_incentives" hidden="1" xlm="1">#NAME?</definedName>
    <definedName name="_xlpm.filtered_potent_incentives" hidden="1" xlm="1">#NAME?</definedName>
    <definedName name="_xlpm.filtered_potenti_incentives" hidden="1" xlm="1">#NAME?</definedName>
    <definedName name="_xlpm.filtered_potentia_incentives" hidden="1" xlm="1">#NAME?</definedName>
    <definedName name="_xlpm.filtered_potential_incentives" hidden="1" xlm="1">#NAME?</definedName>
    <definedName name="_xlpm.filtered_potissed_incentives" hidden="1" xlm="1">#NAME?</definedName>
    <definedName name="_xlpm.filtered_potmissed_incentives" hidden="1" xlm="1">#NAME?</definedName>
    <definedName name="_xlpm.filtered_potsed_incentives" hidden="1" xlm="1">#NAME?</definedName>
    <definedName name="_xlpm.filtered_potssed_incentives" hidden="1" xlm="1">#NAME?</definedName>
    <definedName name="_xlpm.filtered_result" hidden="1" xlm="1">#NAME?</definedName>
    <definedName name="_xlpm.filteredAmounts" hidden="1" xlm="1">#NAME?</definedName>
    <definedName name="_xlpm.FilteredBookingAmounts" hidden="1" xlm="1">#NAME?</definedName>
    <definedName name="_xlpm.FilteredCRPartyIDs" hidden="1" xlm="1">#NAME?</definedName>
    <definedName name="_xlpm.filteredIncentives" hidden="1" xlm="1">#NAME?</definedName>
    <definedName name="_xlpm.FilteredRows" hidden="1" xlm="1">#NAME?</definedName>
    <definedName name="_xlpm.FilteredStages" hidden="1" xlm="1">#NAME?</definedName>
    <definedName name="_xlpm.firstDayOfCurrentMonth" hidden="1" xlm="1">#NAME?</definedName>
    <definedName name="_xlpm.firstMatchAbsoluteRow" hidden="1" xlm="1">#NAME?</definedName>
    <definedName name="_xlpm.firstMatchRelativeRow" hidden="1" xlm="1">#NAME?</definedName>
    <definedName name="_xlpm.flag" hidden="1" xlm="1">#NAME?</definedName>
    <definedName name="_xlpm.id" hidden="1" xlm="1">#NAME?</definedName>
    <definedName name="_xlpm.IDs" hidden="1" xlm="1">#NAME?</definedName>
    <definedName name="_xlpm.incentiveFlagCriteria" hidden="1" xlm="1">#NAME?</definedName>
    <definedName name="_xlpm.incentiveFlagRange" hidden="1" xlm="1">#NAME?</definedName>
    <definedName name="_xlpm.Incentives" hidden="1" xlm="1">#NAME?</definedName>
    <definedName name="_xlpm.is_B_not_empty" hidden="1" xlm="1">#NAME?</definedName>
    <definedName name="_xlpm.is_D_not_empty" hidden="1" xlm="1">#NAME?</definedName>
    <definedName name="_xlpm.is_E_purchase" hidden="1" xlm="1">#NAME?</definedName>
    <definedName name="_xlpm.is_not_blank" hidden="1" xlm="1">#NAME?</definedName>
    <definedName name="_xlpm.is_valid_row" hidden="1" xlm="1">#NAME?</definedName>
    <definedName name="_xlpm.isEligible" hidden="1" xlm="1">#NAME?</definedName>
    <definedName name="_xlpm.isFirstMatch" hidden="1" xlm="1">#NAME?</definedName>
    <definedName name="_xlpm.isLifecycleOptInTrue" hidden="1" xlm="1">#NAME?</definedName>
    <definedName name="_xlpm.isMaxAmount" hidden="1" xlm="1">#NAME?</definedName>
    <definedName name="_xlpm.lookupCRPartyID" hidden="1" xlm="1">#NAME?</definedName>
    <definedName name="_xlpm.lookupTrack" hidden="1" xlm="1">#NAME?</definedName>
    <definedName name="_xlpm.matchArrayForFirstRow" hidden="1" xlm="1">#NAME?</definedName>
    <definedName name="_xlpm.max_incentives_per_customer" hidden="1" xlm="1">#NAME?</definedName>
    <definedName name="_xlpm.maxBookingAmountFlag" hidden="1" xlm="1">#NAME?</definedName>
    <definedName name="_xlpm.maxEligibleBookingAmount" hidden="1" xlm="1">#NAME?</definedName>
    <definedName name="_xlpm.miss" hidden="1" xlm="1">#NAME?</definedName>
    <definedName name="_xlpm.missed_incentives" hidden="1" xlm="1">#NAME?</definedName>
    <definedName name="_xlpm.MissedRange" hidden="1" xlm="1">#NAME?</definedName>
    <definedName name="_xlpm.neOffers" hidden="1" xlm="1">#NAME?</definedName>
    <definedName name="_xlpm.netOffers" hidden="1" xlm="1">#NAME?</definedName>
    <definedName name="_xlpm.netwOffers" hidden="1" xlm="1">#NAME?</definedName>
    <definedName name="_xlpm.netwoOffers" hidden="1" xlm="1">#NAME?</definedName>
    <definedName name="_xlpm.networking_offers" hidden="1" xlm="1">#NAME?</definedName>
    <definedName name="_xlpm.NetworkingOffers" hidden="1" xlm="1">#NAME?</definedName>
    <definedName name="_xlpm.networkinOffers" hidden="1" xlm="1">#NAME?</definedName>
    <definedName name="_xlpm.networkiOffers" hidden="1" xlm="1">#NAME?</definedName>
    <definedName name="_xlpm.networkOffers" hidden="1" xlm="1">#NAME?</definedName>
    <definedName name="_xlpm.networOffers" hidden="1" xlm="1">#NAME?</definedName>
    <definedName name="_xlpm.nOffers" hidden="1" xlm="1">#NAME?</definedName>
    <definedName name="_xlpm.numWeeks" hidden="1" xlm="1">#NAME?</definedName>
    <definedName name="_xlpm.Offers" hidden="1" xlm="1">#NAME?</definedName>
    <definedName name="_xlpm.optedInStatus" hidden="1" xlm="1">#NAME?</definedName>
    <definedName name="_xlpm.p" hidden="1" xlm="1">#NAME?</definedName>
    <definedName name="_xlpm.p_incentives" hidden="1" xlm="1">#NAME?</definedName>
    <definedName name="_xlpm.pair" hidden="1" xlm="1">#NAME?</definedName>
    <definedName name="_xlpm.pairs" hidden="1" xlm="1">#NAME?</definedName>
    <definedName name="_xlpm.pid" hidden="1" xlm="1">#NAME?</definedName>
    <definedName name="_xlpm.pivotTop" hidden="1" xlm="1">#NAME?</definedName>
    <definedName name="_xlpm.pmissed_incentives" hidden="1" xlm="1">#NAME?</definedName>
    <definedName name="_xlpm.po_incentives" hidden="1" xlm="1">#NAME?</definedName>
    <definedName name="_xlpm.pomissed_incentives" hidden="1" xlm="1">#NAME?</definedName>
    <definedName name="_xlpm.pot_incentives" hidden="1" xlm="1">#NAME?</definedName>
    <definedName name="_xlpm.potd_incentives" hidden="1" xlm="1">#NAME?</definedName>
    <definedName name="_xlpm.pote_incentives" hidden="1" xlm="1">#NAME?</definedName>
    <definedName name="_xlpm.poted_incentives" hidden="1" xlm="1">#NAME?</definedName>
    <definedName name="_xlpm.poten_incentives" hidden="1" xlm="1">#NAME?</definedName>
    <definedName name="_xlpm.potent_incentives" hidden="1" xlm="1">#NAME?</definedName>
    <definedName name="_xlpm.potenti_incentives" hidden="1" xlm="1">#NAME?</definedName>
    <definedName name="_xlpm.potentia_incentives" hidden="1" xlm="1">#NAME?</definedName>
    <definedName name="_xlpm.potential_incentives" hidden="1" xlm="1">#NAME?</definedName>
    <definedName name="_xlpm.potissed_incentives" hidden="1" xlm="1">#NAME?</definedName>
    <definedName name="_xlpm.potmissed_incentives" hidden="1" xlm="1">#NAME?</definedName>
    <definedName name="_xlpm.potsed_incentives" hidden="1" xlm="1">#NAME?</definedName>
    <definedName name="_xlpm.potssed_incentives" hidden="1" xlm="1">#NAME?</definedName>
    <definedName name="_xlpm.r" hidden="1" xlm="1">#NAME?</definedName>
    <definedName name="_xlpm.row" hidden="1" xlm="1">#NAME?</definedName>
    <definedName name="_xlpm.rowMax" hidden="1" xlm="1">#NAME?</definedName>
    <definedName name="_xlpm.sd" hidden="1" xlm="1">#NAME?</definedName>
    <definedName name="_xlpm.StageCol" hidden="1" xlm="1">#NAME?</definedName>
    <definedName name="_xlpm.StageOrder" hidden="1" xlm="1">#NAME?</definedName>
    <definedName name="_xlpm.StageRank" hidden="1" xlm="1">#NAME?</definedName>
    <definedName name="_xlpm.startWeek" hidden="1" xlm="1">#NAME?</definedName>
    <definedName name="_xlpm.startYear" hidden="1" xlm="1">#NAME?</definedName>
    <definedName name="_xlpm.SubTrackCol" hidden="1" xlm="1">#NAME?</definedName>
    <definedName name="_xlpm.sumRange" hidden="1" xlm="1">#NAME?</definedName>
    <definedName name="_xlpm.t" hidden="1" xlm="1">#NAME?</definedName>
    <definedName name="_xlpm.track" hidden="1" xlm="1">#NAME?</definedName>
    <definedName name="_xlpm.trackCriteria" hidden="1" xlm="1">#NAME?</definedName>
    <definedName name="_xlpm.TrackRange" hidden="1" xlm="1">#NAME?</definedName>
    <definedName name="_xlpm.tracks" hidden="1" xlm="1">#NAME?</definedName>
    <definedName name="_xlpm.trk" hidden="1" xlm="1">#NAME?</definedName>
    <definedName name="_xlpm.unique_customers" hidden="1" xlm="1">#NAME?</definedName>
    <definedName name="_xlpm.unique_filtered" hidden="1" xlm="1">#NAME?</definedName>
    <definedName name="_xlpm.unique_filtered_result" hidden="1" xlm="1">#NAME?</definedName>
    <definedName name="_xlpm.UniqueCRPartyIDs" hidden="1" xlm="1">#NAME?</definedName>
    <definedName name="_xlpm.UniqueFilteredIDs" hidden="1" xlm="1">#NAME?</definedName>
    <definedName name="_xlpm.uniqueIDs" hidden="1" xlm="1">#NAME?</definedName>
    <definedName name="_xlpm.UniquePairs" hidden="1" xlm="1">#NAME?</definedName>
    <definedName name="_xlpm.v" hidden="1" xlm="1">#NAME?</definedName>
    <definedName name="_xlpm.ValidPairs" hidden="1" xlm="1">#NAME?</definedName>
    <definedName name="_xlpm.vals" hidden="1" xlm="1">#NAME?</definedName>
    <definedName name="_xlpm.values" hidden="1" xlm="1">#NAME?</definedName>
    <definedName name="Cloud_adopt_perc">Ref!$N$16:$N$26</definedName>
    <definedName name="Cloud_adopt_score">Ref!$M$16:$M$26</definedName>
    <definedName name="Cloud_onboard_perc">Ref!$N$4:$N$14</definedName>
    <definedName name="Cloud_onboard_score">Ref!$M$4:$M$14</definedName>
    <definedName name="CRPartyName_ID">Ref!$AL$2:$AL$6553</definedName>
    <definedName name="Customer_CRParty">Customer!$A$2</definedName>
    <definedName name="dashboard_status">Instructions!$A$19</definedName>
    <definedName name="Domain">Ref!$AN$2:$AN$29</definedName>
    <definedName name="ExternalData_1" localSheetId="8" hidden="1">Data!$A$1:$BL$2</definedName>
    <definedName name="Fiscal_Month">Ref!$D$2:$D$49</definedName>
    <definedName name="FiscalDates">Ref!$D$1:$G$49</definedName>
    <definedName name="FiscalMonthCount">Ref!$G$2:$G$49</definedName>
    <definedName name="FiscalMonthEnd">Ref!$F$2:$F$49</definedName>
    <definedName name="FiscalMonthStart">Ref!$E$2:$E$49</definedName>
    <definedName name="Input_BEGEOID">Instructions!$E$22</definedName>
    <definedName name="Input_region">Instructions!$D$22</definedName>
    <definedName name="Input_week">Instructions!$F$22</definedName>
    <definedName name="Latest_booking_date">Instructions!$C$21:$C$22</definedName>
    <definedName name="Max_rows">Ref!$B$1</definedName>
    <definedName name="NativeTimeline_Adopt_Rebate_Start_Date">#N/A</definedName>
    <definedName name="NativeTimeline_Booking_Date">#N/A</definedName>
    <definedName name="Net_adopt_perc">Ref!$J$16:$J$26</definedName>
    <definedName name="Net_Adopt_score">Ref!$I$16:$I$26</definedName>
    <definedName name="Net_onboard_perc">Ref!$J$4:$J$14</definedName>
    <definedName name="Net_Onboard_score">Ref!$I$4:$I$14</definedName>
    <definedName name="Offer">Ref!$AO$2:$AO$29</definedName>
    <definedName name="Output_partnername">Instructions!$A$21</definedName>
    <definedName name="Sec_adopt_perc">Ref!$L$16:$L$26</definedName>
    <definedName name="Sec_adopt_score">Ref!$K$16:$K$26</definedName>
    <definedName name="Sec_onboard_perc">Ref!$L$4:$L$14</definedName>
    <definedName name="Sec_onboard_score">Ref!$K$4:$K$14</definedName>
    <definedName name="Slicer_Adopt_Rebate_Opt_In_Status">#N/A</definedName>
    <definedName name="Slicer_Deal_CPI_Portfolio">#N/A</definedName>
    <definedName name="Slicer_EA_Flag">#N/A</definedName>
    <definedName name="Slicer_Earned?">#N/A</definedName>
    <definedName name="Slicer_Expires__3M?">#N/A</definedName>
    <definedName name="Slicer_Incentive_Level">#N/A</definedName>
    <definedName name="Slicer_New_eligible1">#N/A</definedName>
    <definedName name="Slicer_Offer_opted_in?">#N/A</definedName>
    <definedName name="Slicer_Offer_Risk_Level">#N/A</definedName>
    <definedName name="Slicer_PVI_Adopt">#N/A</definedName>
    <definedName name="Slicer_PVI_Eligible">#N/A</definedName>
    <definedName name="Slicer_PVI_Onboard">#N/A</definedName>
    <definedName name="Slicer_Stage">#N/A</definedName>
    <definedName name="Slicer_Sub_Track">#N/A</definedName>
    <definedName name="Slicer_Track">#N/A</definedName>
    <definedName name="Slicer_UC_25_50__eligible_w_o_opt_in">#N/A</definedName>
    <definedName name="Slicer_UC_75__eligible_w_o_opt_in">#N/A</definedName>
    <definedName name="Slicer_UC_progressed_and_missed_w_o_opt_in">#N/A</definedName>
    <definedName name="target_adopt_cloud">Ref!$A$8</definedName>
    <definedName name="target_adopt_net">Ref!$A$4</definedName>
    <definedName name="target_adopt_sec">Ref!$A$6</definedName>
    <definedName name="target_booking_adopt_cloud">PVI!$G$17</definedName>
    <definedName name="target_booking_adopt_net">PVI!$C$17</definedName>
    <definedName name="target_booking_adopt_sec">PVI!$E$17</definedName>
    <definedName name="target_booking_onboard_cloud">PVI!$G$15</definedName>
    <definedName name="target_booking_onboard_net">PVI!$C$15</definedName>
    <definedName name="target_booking_onboard_sec">PVI!$E$15</definedName>
    <definedName name="target_onboard_cloud">Ref!$A$7</definedName>
    <definedName name="target_onboard_net">Ref!$A$3</definedName>
    <definedName name="target_onboard_sec">Ref!$A$5</definedName>
    <definedName name="UseCase">Ref!$AP$2:$AP$29</definedName>
    <definedName name="Weeks">Ref!$H$2:$H$49</definedName>
  </definedNames>
  <calcPr calcId="191029"/>
  <pivotCaches>
    <pivotCache cacheId="0" r:id="rId12"/>
  </pivotCaches>
  <extLst>
    <ext xmlns:x14="http://schemas.microsoft.com/office/spreadsheetml/2009/9/main" uri="{BBE1A952-AA13-448e-AADC-164F8A28A991}">
      <x14:slicerCaches>
        <x14:slicerCache r:id="rId13"/>
        <x14:slicerCache r:id="rId14"/>
        <x14:slicerCache r:id="rId15"/>
        <x14:slicerCache r:id="rId16"/>
        <x14:slicerCache r:id="rId17"/>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31"/>
        <x15:timelineCacheRef r:id="rId32"/>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61" i="15" l="1" a="1"/>
  <c r="Q61" i="15" s="1"/>
  <c r="Q37" i="15" a="1"/>
  <c r="Q37" i="15" s="1"/>
  <c r="Q49" i="15" a="1"/>
  <c r="Q49" i="15" s="1"/>
  <c r="AD36" i="15" a="1"/>
  <c r="AD36" i="15" s="1"/>
  <c r="R36" i="15" a="1"/>
  <c r="R36" i="15" s="1"/>
  <c r="AD2" i="15" a="1"/>
  <c r="AD2" i="15" s="1"/>
  <c r="I2" i="15" s="1"/>
  <c r="R2" i="15" a="1"/>
  <c r="R2" i="15" s="1"/>
  <c r="AL2" i="15" a="1"/>
  <c r="AL2" i="15" s="1"/>
  <c r="D3" i="6" a="1"/>
  <c r="D3" i="6" s="1"/>
  <c r="C3" i="6" a="1"/>
  <c r="B3" i="6" a="1"/>
  <c r="A3" i="6" a="1"/>
  <c r="A3" i="6" s="1"/>
  <c r="R30" i="15"/>
  <c r="B5" i="13" a="1"/>
  <c r="B5" i="13" s="1"/>
  <c r="C9" i="13" a="1"/>
  <c r="C9" i="13" s="1"/>
  <c r="G9" i="13" a="1"/>
  <c r="G9" i="13" s="1"/>
  <c r="E9" i="13" a="1"/>
  <c r="E9" i="13" s="1"/>
  <c r="F9" i="13" a="1"/>
  <c r="F9" i="13" s="1"/>
  <c r="D9" i="13" a="1"/>
  <c r="D9" i="13" s="1"/>
  <c r="B9" i="13" a="1"/>
  <c r="B9" i="13" s="1"/>
  <c r="F6" i="13" a="1"/>
  <c r="F6" i="13" s="1"/>
  <c r="D6" i="13" a="1"/>
  <c r="D6" i="13" s="1"/>
  <c r="B6" i="13" a="1"/>
  <c r="B6" i="13" s="1"/>
  <c r="G6" i="13" a="1"/>
  <c r="G6" i="13" s="1"/>
  <c r="E6" i="13" a="1"/>
  <c r="E6" i="13" s="1"/>
  <c r="C6" i="13" a="1"/>
  <c r="C6" i="13" s="1"/>
  <c r="F5" i="13" a="1"/>
  <c r="F5" i="13" s="1"/>
  <c r="D5" i="13" a="1"/>
  <c r="D5" i="13" s="1"/>
  <c r="G5" i="13" a="1"/>
  <c r="G5" i="13" s="1"/>
  <c r="G17" i="13" s="1"/>
  <c r="E5" i="13" a="1"/>
  <c r="E5" i="13" s="1"/>
  <c r="E15" i="13" s="1"/>
  <c r="C5" i="13" a="1"/>
  <c r="C5" i="13" s="1"/>
  <c r="C15" i="13" s="1"/>
  <c r="K2" i="15" l="1"/>
  <c r="AG17" i="15"/>
  <c r="AB64" i="15" a="1"/>
  <c r="AB64" i="15" s="1"/>
  <c r="R61" i="15" a="1"/>
  <c r="R61" i="15" s="1"/>
  <c r="Z62" i="15" a="1"/>
  <c r="Z62" i="15" s="1"/>
  <c r="AB66" i="15" a="1"/>
  <c r="AB66" i="15" s="1"/>
  <c r="AC66" i="15" a="1"/>
  <c r="AC66" i="15" s="1"/>
  <c r="Y64" i="15" a="1"/>
  <c r="Y64" i="15" s="1"/>
  <c r="AB65" i="15" a="1"/>
  <c r="AB65" i="15" s="1"/>
  <c r="Z64" i="15" a="1"/>
  <c r="Z64" i="15" s="1"/>
  <c r="AC68" i="15" a="1"/>
  <c r="AC68" i="15" s="1"/>
  <c r="AA62" i="15" a="1"/>
  <c r="AA62" i="15" s="1"/>
  <c r="Z66" i="15" a="1"/>
  <c r="Z66" i="15" s="1"/>
  <c r="AC62" i="15" a="1"/>
  <c r="AC62" i="15" s="1"/>
  <c r="AC69" i="15" a="1"/>
  <c r="AC69" i="15" s="1"/>
  <c r="AA64" i="15" a="1"/>
  <c r="AA64" i="15" s="1"/>
  <c r="AC63" i="15" a="1"/>
  <c r="AC63" i="15" s="1"/>
  <c r="AC70" i="15" a="1"/>
  <c r="AC70" i="15" s="1"/>
  <c r="AA63" i="15" a="1"/>
  <c r="AA63" i="15" s="1"/>
  <c r="AA67" i="15" a="1"/>
  <c r="AA67" i="15" s="1"/>
  <c r="AB67" i="15" a="1"/>
  <c r="AB67" i="15" s="1"/>
  <c r="AA66" i="15" a="1"/>
  <c r="AA66" i="15" s="1"/>
  <c r="AC71" i="15" a="1"/>
  <c r="AC71" i="15" s="1"/>
  <c r="AC64" i="15" a="1"/>
  <c r="AC64" i="15" s="1"/>
  <c r="AB62" i="15" a="1"/>
  <c r="AB62" i="15" s="1"/>
  <c r="AC61" i="15" a="1"/>
  <c r="AC61" i="15" s="1"/>
  <c r="AB61" i="15" a="1"/>
  <c r="AB61" i="15" s="1"/>
  <c r="AC72" i="15" a="1"/>
  <c r="AC72" i="15" s="1"/>
  <c r="AC67" i="15" a="1"/>
  <c r="AC67" i="15" s="1"/>
  <c r="AB63" i="15" a="1"/>
  <c r="AB63" i="15" s="1"/>
  <c r="AC65" i="15" a="1"/>
  <c r="AC65" i="15" s="1"/>
  <c r="AA65" i="15" a="1"/>
  <c r="AA65" i="15" s="1"/>
  <c r="AB68" i="15" a="1"/>
  <c r="AB68" i="15" s="1"/>
  <c r="X61" i="15" a="1"/>
  <c r="X61" i="15" s="1"/>
  <c r="AB69" i="15" a="1"/>
  <c r="AB69" i="15" s="1"/>
  <c r="Y66" i="15" a="1"/>
  <c r="Y66" i="15" s="1"/>
  <c r="AB70" i="15" a="1"/>
  <c r="AB70" i="15" s="1"/>
  <c r="AB71" i="15" a="1"/>
  <c r="AB71" i="15" s="1"/>
  <c r="AA61" i="15" a="1"/>
  <c r="AA61" i="15" s="1"/>
  <c r="AB72" i="15" a="1"/>
  <c r="AB72" i="15" s="1"/>
  <c r="Z65" i="15" a="1"/>
  <c r="Z65" i="15" s="1"/>
  <c r="Z67" i="15" a="1"/>
  <c r="Z67" i="15" s="1"/>
  <c r="AA68" i="15" a="1"/>
  <c r="AA68" i="15" s="1"/>
  <c r="W68" i="15" a="1"/>
  <c r="W68" i="15" s="1"/>
  <c r="AA69" i="15" a="1"/>
  <c r="AA69" i="15" s="1"/>
  <c r="Y61" i="15" a="1"/>
  <c r="Y61" i="15" s="1"/>
  <c r="AA70" i="15" a="1"/>
  <c r="AA70" i="15" s="1"/>
  <c r="Y65" i="15" a="1"/>
  <c r="Y65" i="15" s="1"/>
  <c r="AA71" i="15" a="1"/>
  <c r="AA71" i="15" s="1"/>
  <c r="Y67" i="15" a="1"/>
  <c r="Y67" i="15" s="1"/>
  <c r="AA72" i="15" a="1"/>
  <c r="AA72" i="15" s="1"/>
  <c r="Z63" i="15" a="1"/>
  <c r="Z63" i="15" s="1"/>
  <c r="Z68" i="15" a="1"/>
  <c r="Z68" i="15" s="1"/>
  <c r="Z61" i="15" a="1"/>
  <c r="Z61" i="15" s="1"/>
  <c r="Z69" i="15" a="1"/>
  <c r="Z69" i="15" s="1"/>
  <c r="U69" i="15" a="1"/>
  <c r="U69" i="15" s="1"/>
  <c r="Z70" i="15" a="1"/>
  <c r="Z70" i="15" s="1"/>
  <c r="W69" i="15" a="1"/>
  <c r="W69" i="15" s="1"/>
  <c r="Z71" i="15" a="1"/>
  <c r="Z71" i="15" s="1"/>
  <c r="X67" i="15" a="1"/>
  <c r="X67" i="15" s="1"/>
  <c r="Z72" i="15" a="1"/>
  <c r="Z72" i="15" s="1"/>
  <c r="Y63" i="15" a="1"/>
  <c r="Y63" i="15" s="1"/>
  <c r="Y68" i="15" a="1"/>
  <c r="Y68" i="15" s="1"/>
  <c r="Y69" i="15" a="1"/>
  <c r="Y69" i="15" s="1"/>
  <c r="Y62" i="15" a="1"/>
  <c r="Y62" i="15" s="1"/>
  <c r="Y70" i="15" a="1"/>
  <c r="Y70" i="15" s="1"/>
  <c r="Y71" i="15" a="1"/>
  <c r="Y71" i="15" s="1"/>
  <c r="T62" i="15" a="1"/>
  <c r="T62" i="15" s="1"/>
  <c r="Y72" i="15" a="1"/>
  <c r="Y72" i="15" s="1"/>
  <c r="W66" i="15" a="1"/>
  <c r="W66" i="15" s="1"/>
  <c r="X66" i="15" a="1"/>
  <c r="X66" i="15" s="1"/>
  <c r="W67" i="15" a="1"/>
  <c r="W67" i="15" s="1"/>
  <c r="X68" i="15" a="1"/>
  <c r="X68" i="15" s="1"/>
  <c r="U65" i="15" a="1"/>
  <c r="U65" i="15" s="1"/>
  <c r="X62" i="15" a="1"/>
  <c r="X62" i="15" s="1"/>
  <c r="X69" i="15" a="1"/>
  <c r="X69" i="15" s="1"/>
  <c r="V62" i="15" a="1"/>
  <c r="V62" i="15" s="1"/>
  <c r="V68" i="15" a="1"/>
  <c r="V68" i="15" s="1"/>
  <c r="X63" i="15" a="1"/>
  <c r="X63" i="15" s="1"/>
  <c r="X70" i="15" a="1"/>
  <c r="X70" i="15" s="1"/>
  <c r="W61" i="15" a="1"/>
  <c r="W61" i="15" s="1"/>
  <c r="X64" i="15" a="1"/>
  <c r="X64" i="15" s="1"/>
  <c r="X71" i="15" a="1"/>
  <c r="X71" i="15" s="1"/>
  <c r="W62" i="15" a="1"/>
  <c r="W62" i="15" s="1"/>
  <c r="W63" i="15" a="1"/>
  <c r="W63" i="15" s="1"/>
  <c r="X65" i="15" a="1"/>
  <c r="X65" i="15" s="1"/>
  <c r="X72" i="15" a="1"/>
  <c r="X72" i="15" s="1"/>
  <c r="W64" i="15" a="1"/>
  <c r="W64" i="15" s="1"/>
  <c r="W65" i="15" a="1"/>
  <c r="W65" i="15" s="1"/>
  <c r="V61" i="15" a="1"/>
  <c r="V61" i="15" s="1"/>
  <c r="W70" i="15" a="1"/>
  <c r="W70" i="15" s="1"/>
  <c r="S61" i="15" a="1"/>
  <c r="S61" i="15" s="1"/>
  <c r="W71" i="15" a="1"/>
  <c r="W71" i="15" s="1"/>
  <c r="T67" i="15" a="1"/>
  <c r="T67" i="15" s="1"/>
  <c r="W72" i="15" a="1"/>
  <c r="W72" i="15" s="1"/>
  <c r="U67" i="15" a="1"/>
  <c r="U67" i="15" s="1"/>
  <c r="U61" i="15" a="1"/>
  <c r="U61" i="15" s="1"/>
  <c r="U63" i="15" a="1"/>
  <c r="U63" i="15" s="1"/>
  <c r="U71" i="15" a="1"/>
  <c r="U71" i="15" s="1"/>
  <c r="U72" i="15" a="1"/>
  <c r="U72" i="15" s="1"/>
  <c r="V63" i="15" a="1"/>
  <c r="V63" i="15" s="1"/>
  <c r="V64" i="15" a="1"/>
  <c r="V64" i="15" s="1"/>
  <c r="V65" i="15" a="1"/>
  <c r="V65" i="15" s="1"/>
  <c r="V67" i="15" a="1"/>
  <c r="V67" i="15" s="1"/>
  <c r="V66" i="15" a="1"/>
  <c r="V66" i="15" s="1"/>
  <c r="U70" i="15" a="1"/>
  <c r="U70" i="15" s="1"/>
  <c r="T68" i="15" a="1"/>
  <c r="T68" i="15" s="1"/>
  <c r="V69" i="15" a="1"/>
  <c r="V69" i="15" s="1"/>
  <c r="U62" i="15" a="1"/>
  <c r="U62" i="15" s="1"/>
  <c r="V70" i="15" a="1"/>
  <c r="V70" i="15" s="1"/>
  <c r="U64" i="15" a="1"/>
  <c r="U64" i="15" s="1"/>
  <c r="V71" i="15" a="1"/>
  <c r="V71" i="15" s="1"/>
  <c r="U66" i="15" a="1"/>
  <c r="U66" i="15" s="1"/>
  <c r="V72" i="15" a="1"/>
  <c r="V72" i="15" s="1"/>
  <c r="U68" i="15" a="1"/>
  <c r="U68" i="15" s="1"/>
  <c r="S67" i="15" a="1"/>
  <c r="S67" i="15" s="1"/>
  <c r="T61" i="15" a="1"/>
  <c r="T61" i="15" s="1"/>
  <c r="T66" i="15" a="1"/>
  <c r="T66" i="15" s="1"/>
  <c r="R67" i="15" a="1"/>
  <c r="R67" i="15" s="1"/>
  <c r="T69" i="15" a="1"/>
  <c r="T69" i="15" s="1"/>
  <c r="T70" i="15" a="1"/>
  <c r="T70" i="15" s="1"/>
  <c r="T63" i="15" a="1"/>
  <c r="T63" i="15" s="1"/>
  <c r="T71" i="15" a="1"/>
  <c r="T71" i="15" s="1"/>
  <c r="T64" i="15" a="1"/>
  <c r="T64" i="15" s="1"/>
  <c r="T72" i="15" a="1"/>
  <c r="T72" i="15" s="1"/>
  <c r="T65" i="15" a="1"/>
  <c r="T65" i="15" s="1"/>
  <c r="S68" i="15" a="1"/>
  <c r="S68" i="15" s="1"/>
  <c r="S66" i="15" a="1"/>
  <c r="S66" i="15" s="1"/>
  <c r="S62" i="15" a="1"/>
  <c r="S62" i="15" s="1"/>
  <c r="S69" i="15" a="1"/>
  <c r="S69" i="15" s="1"/>
  <c r="S70" i="15" a="1"/>
  <c r="S70" i="15" s="1"/>
  <c r="S71" i="15" a="1"/>
  <c r="S71" i="15" s="1"/>
  <c r="S64" i="15" a="1"/>
  <c r="S64" i="15" s="1"/>
  <c r="S63" i="15" a="1"/>
  <c r="S63" i="15" s="1"/>
  <c r="S72" i="15" a="1"/>
  <c r="S72" i="15" s="1"/>
  <c r="S65" i="15" a="1"/>
  <c r="S65" i="15" s="1"/>
  <c r="R71" i="15" a="1"/>
  <c r="R71" i="15" s="1"/>
  <c r="R69" i="15" a="1"/>
  <c r="R69" i="15" s="1"/>
  <c r="R68" i="15" a="1"/>
  <c r="R68" i="15" s="1"/>
  <c r="R66" i="15" a="1"/>
  <c r="R66" i="15" s="1"/>
  <c r="R64" i="15" a="1"/>
  <c r="R64" i="15" s="1"/>
  <c r="R72" i="15" a="1"/>
  <c r="R72" i="15" s="1"/>
  <c r="R63" i="15" a="1"/>
  <c r="R63" i="15" s="1"/>
  <c r="R70" i="15" a="1"/>
  <c r="R70" i="15" s="1"/>
  <c r="R65" i="15" a="1"/>
  <c r="R65" i="15" s="1"/>
  <c r="R62" i="15" a="1"/>
  <c r="R62" i="15" s="1"/>
  <c r="R49" i="15" a="1"/>
  <c r="R49" i="15" s="1"/>
  <c r="X55" i="15" a="1"/>
  <c r="X55" i="15" s="1"/>
  <c r="AA49" i="15" a="1"/>
  <c r="AA49" i="15" s="1"/>
  <c r="AA50" i="15" a="1"/>
  <c r="AA50" i="15" s="1"/>
  <c r="AB51" i="15" a="1"/>
  <c r="AB51" i="15" s="1"/>
  <c r="AC53" i="15" a="1"/>
  <c r="AC53" i="15" s="1"/>
  <c r="AC54" i="15" a="1"/>
  <c r="AC54" i="15" s="1"/>
  <c r="AC49" i="15" a="1"/>
  <c r="AC49" i="15" s="1"/>
  <c r="AC50" i="15" a="1"/>
  <c r="AC50" i="15" s="1"/>
  <c r="AC51" i="15" a="1"/>
  <c r="AC51" i="15" s="1"/>
  <c r="AC52" i="15" a="1"/>
  <c r="AC52" i="15" s="1"/>
  <c r="AC56" i="15" a="1"/>
  <c r="AC56" i="15" s="1"/>
  <c r="AC57" i="15" a="1"/>
  <c r="AC57" i="15" s="1"/>
  <c r="AC60" i="15" a="1"/>
  <c r="AC60" i="15" s="1"/>
  <c r="AC55" i="15" a="1"/>
  <c r="AC55" i="15" s="1"/>
  <c r="AC58" i="15" a="1"/>
  <c r="AC58" i="15" s="1"/>
  <c r="AC59" i="15" a="1"/>
  <c r="AC59" i="15" s="1"/>
  <c r="Y50" i="15" a="1"/>
  <c r="Y50" i="15" s="1"/>
  <c r="Z49" i="15" a="1"/>
  <c r="Z49" i="15" s="1"/>
  <c r="AB52" i="15" a="1"/>
  <c r="AB52" i="15" s="1"/>
  <c r="AB53" i="15" a="1"/>
  <c r="AB53" i="15" s="1"/>
  <c r="AB54" i="15" a="1"/>
  <c r="AB54" i="15" s="1"/>
  <c r="AB55" i="15" a="1"/>
  <c r="AB55" i="15" s="1"/>
  <c r="Z54" i="15" a="1"/>
  <c r="Z54" i="15" s="1"/>
  <c r="AB56" i="15" a="1"/>
  <c r="AB56" i="15" s="1"/>
  <c r="AB49" i="15" a="1"/>
  <c r="AB49" i="15" s="1"/>
  <c r="AB57" i="15" a="1"/>
  <c r="AB57" i="15" s="1"/>
  <c r="AB50" i="15" a="1"/>
  <c r="AB50" i="15" s="1"/>
  <c r="AB58" i="15" a="1"/>
  <c r="AB58" i="15" s="1"/>
  <c r="W55" i="15" a="1"/>
  <c r="W55" i="15" s="1"/>
  <c r="AB59" i="15" a="1"/>
  <c r="AB59" i="15" s="1"/>
  <c r="Y49" i="15" a="1"/>
  <c r="Y49" i="15" s="1"/>
  <c r="AB60" i="15" a="1"/>
  <c r="AB60" i="15" s="1"/>
  <c r="Y53" i="15" a="1"/>
  <c r="Y53" i="15" s="1"/>
  <c r="Z50" i="15" a="1"/>
  <c r="Z50" i="15" s="1"/>
  <c r="AA51" i="15" a="1"/>
  <c r="AA51" i="15" s="1"/>
  <c r="AA52" i="15" a="1"/>
  <c r="AA52" i="15" s="1"/>
  <c r="AA53" i="15" a="1"/>
  <c r="AA53" i="15" s="1"/>
  <c r="AA54" i="15" a="1"/>
  <c r="AA54" i="15" s="1"/>
  <c r="AA55" i="15" a="1"/>
  <c r="AA55" i="15" s="1"/>
  <c r="AA56" i="15" a="1"/>
  <c r="AA56" i="15" s="1"/>
  <c r="AA57" i="15" a="1"/>
  <c r="AA57" i="15" s="1"/>
  <c r="AA58" i="15" a="1"/>
  <c r="AA58" i="15" s="1"/>
  <c r="AA59" i="15" a="1"/>
  <c r="AA59" i="15" s="1"/>
  <c r="AA60" i="15" a="1"/>
  <c r="AA60" i="15" s="1"/>
  <c r="Y59" i="15" a="1"/>
  <c r="Y59" i="15" s="1"/>
  <c r="Z51" i="15" a="1"/>
  <c r="Z51" i="15" s="1"/>
  <c r="Z52" i="15" a="1"/>
  <c r="Z52" i="15" s="1"/>
  <c r="Z53" i="15" a="1"/>
  <c r="Z53" i="15" s="1"/>
  <c r="Z55" i="15" a="1"/>
  <c r="Z55" i="15" s="1"/>
  <c r="Z56" i="15" a="1"/>
  <c r="Z56" i="15" s="1"/>
  <c r="Z57" i="15" a="1"/>
  <c r="Z57" i="15" s="1"/>
  <c r="Z58" i="15" a="1"/>
  <c r="Z58" i="15" s="1"/>
  <c r="Z59" i="15" a="1"/>
  <c r="Z59" i="15" s="1"/>
  <c r="Z60" i="15" a="1"/>
  <c r="Z60" i="15" s="1"/>
  <c r="Y51" i="15" a="1"/>
  <c r="Y51" i="15" s="1"/>
  <c r="Y52" i="15" a="1"/>
  <c r="Y52" i="15" s="1"/>
  <c r="Y54" i="15" a="1"/>
  <c r="Y54" i="15" s="1"/>
  <c r="Y55" i="15" a="1"/>
  <c r="Y55" i="15" s="1"/>
  <c r="Y56" i="15" a="1"/>
  <c r="Y56" i="15" s="1"/>
  <c r="Y57" i="15" a="1"/>
  <c r="Y57" i="15" s="1"/>
  <c r="Y58" i="15" a="1"/>
  <c r="Y58" i="15" s="1"/>
  <c r="Y60" i="15" a="1"/>
  <c r="Y60" i="15" s="1"/>
  <c r="X54" i="15" a="1"/>
  <c r="X54" i="15" s="1"/>
  <c r="U55" i="15" a="1"/>
  <c r="U55" i="15" s="1"/>
  <c r="X50" i="15" a="1"/>
  <c r="X50" i="15" s="1"/>
  <c r="X57" i="15" a="1"/>
  <c r="X57" i="15" s="1"/>
  <c r="X51" i="15" a="1"/>
  <c r="X51" i="15" s="1"/>
  <c r="X49" i="15" a="1"/>
  <c r="X49" i="15" s="1"/>
  <c r="X58" i="15" a="1"/>
  <c r="X58" i="15" s="1"/>
  <c r="X59" i="15" a="1"/>
  <c r="X59" i="15" s="1"/>
  <c r="X56" i="15" a="1"/>
  <c r="X56" i="15" s="1"/>
  <c r="X52" i="15" a="1"/>
  <c r="X52" i="15" s="1"/>
  <c r="W56" i="15" a="1"/>
  <c r="W56" i="15" s="1"/>
  <c r="X60" i="15" a="1"/>
  <c r="X60" i="15" s="1"/>
  <c r="X53" i="15" a="1"/>
  <c r="X53" i="15" s="1"/>
  <c r="W54" i="15" a="1"/>
  <c r="W54" i="15" s="1"/>
  <c r="U49" i="15" a="1"/>
  <c r="U49" i="15" s="1"/>
  <c r="W50" i="15" a="1"/>
  <c r="W50" i="15" s="1"/>
  <c r="W57" i="15" a="1"/>
  <c r="W57" i="15" s="1"/>
  <c r="W49" i="15" a="1"/>
  <c r="W49" i="15" s="1"/>
  <c r="W58" i="15" a="1"/>
  <c r="W58" i="15" s="1"/>
  <c r="W51" i="15" a="1"/>
  <c r="W51" i="15" s="1"/>
  <c r="W59" i="15" a="1"/>
  <c r="W59" i="15" s="1"/>
  <c r="W52" i="15" a="1"/>
  <c r="W52" i="15" s="1"/>
  <c r="V54" i="15" a="1"/>
  <c r="V54" i="15" s="1"/>
  <c r="W60" i="15" a="1"/>
  <c r="W60" i="15" s="1"/>
  <c r="W53" i="15" a="1"/>
  <c r="W53" i="15" s="1"/>
  <c r="U50" i="15" a="1"/>
  <c r="U50" i="15" s="1"/>
  <c r="U51" i="15" a="1"/>
  <c r="U51" i="15" s="1"/>
  <c r="V49" i="15" a="1"/>
  <c r="V49" i="15" s="1"/>
  <c r="V50" i="15" a="1"/>
  <c r="V50" i="15" s="1"/>
  <c r="V53" i="15" a="1"/>
  <c r="V53" i="15" s="1"/>
  <c r="V55" i="15" a="1"/>
  <c r="V55" i="15" s="1"/>
  <c r="V56" i="15" a="1"/>
  <c r="V56" i="15" s="1"/>
  <c r="V57" i="15" a="1"/>
  <c r="V57" i="15" s="1"/>
  <c r="V58" i="15" a="1"/>
  <c r="V58" i="15" s="1"/>
  <c r="V51" i="15" a="1"/>
  <c r="V51" i="15" s="1"/>
  <c r="V59" i="15" a="1"/>
  <c r="V59" i="15" s="1"/>
  <c r="V52" i="15" a="1"/>
  <c r="V52" i="15" s="1"/>
  <c r="V60" i="15" a="1"/>
  <c r="V60" i="15" s="1"/>
  <c r="T55" i="15" a="1"/>
  <c r="T55" i="15" s="1"/>
  <c r="U54" i="15" a="1"/>
  <c r="U54" i="15" s="1"/>
  <c r="U56" i="15" a="1"/>
  <c r="U56" i="15" s="1"/>
  <c r="U57" i="15" a="1"/>
  <c r="U57" i="15" s="1"/>
  <c r="U58" i="15" a="1"/>
  <c r="U58" i="15" s="1"/>
  <c r="U52" i="15" a="1"/>
  <c r="U52" i="15" s="1"/>
  <c r="U59" i="15" a="1"/>
  <c r="U59" i="15" s="1"/>
  <c r="U53" i="15" a="1"/>
  <c r="U53" i="15" s="1"/>
  <c r="U60" i="15" a="1"/>
  <c r="U60" i="15" s="1"/>
  <c r="T49" i="15" a="1"/>
  <c r="T49" i="15" s="1"/>
  <c r="T54" i="15" a="1"/>
  <c r="T54" i="15" s="1"/>
  <c r="T50" i="15" a="1"/>
  <c r="T50" i="15" s="1"/>
  <c r="T57" i="15" a="1"/>
  <c r="T57" i="15" s="1"/>
  <c r="T51" i="15" a="1"/>
  <c r="T51" i="15" s="1"/>
  <c r="T58" i="15" a="1"/>
  <c r="T58" i="15" s="1"/>
  <c r="T59" i="15" a="1"/>
  <c r="T59" i="15" s="1"/>
  <c r="T52" i="15" a="1"/>
  <c r="T52" i="15" s="1"/>
  <c r="S55" i="15" a="1"/>
  <c r="S55" i="15" s="1"/>
  <c r="T60" i="15" a="1"/>
  <c r="T60" i="15" s="1"/>
  <c r="T56" i="15" a="1"/>
  <c r="T56" i="15" s="1"/>
  <c r="T53" i="15" a="1"/>
  <c r="T53" i="15" s="1"/>
  <c r="S49" i="15" a="1"/>
  <c r="S49" i="15" s="1"/>
  <c r="S54" i="15" a="1"/>
  <c r="S54" i="15" s="1"/>
  <c r="S52" i="15" a="1"/>
  <c r="S52" i="15" s="1"/>
  <c r="S50" i="15" a="1"/>
  <c r="S50" i="15" s="1"/>
  <c r="S57" i="15" a="1"/>
  <c r="S57" i="15" s="1"/>
  <c r="S51" i="15" a="1"/>
  <c r="S51" i="15" s="1"/>
  <c r="S58" i="15" a="1"/>
  <c r="S58" i="15" s="1"/>
  <c r="S59" i="15" a="1"/>
  <c r="S59" i="15" s="1"/>
  <c r="S56" i="15" a="1"/>
  <c r="S56" i="15" s="1"/>
  <c r="S60" i="15" a="1"/>
  <c r="S60" i="15" s="1"/>
  <c r="S53" i="15" a="1"/>
  <c r="S53" i="15" s="1"/>
  <c r="R50" i="15" a="1"/>
  <c r="R50" i="15" s="1"/>
  <c r="R51" i="15" a="1"/>
  <c r="R51" i="15" s="1"/>
  <c r="R52" i="15" a="1"/>
  <c r="R52" i="15" s="1"/>
  <c r="R53" i="15" a="1"/>
  <c r="R53" i="15" s="1"/>
  <c r="R54" i="15" a="1"/>
  <c r="R54" i="15" s="1"/>
  <c r="R55" i="15" a="1"/>
  <c r="R55" i="15" s="1"/>
  <c r="R56" i="15" a="1"/>
  <c r="R56" i="15" s="1"/>
  <c r="R57" i="15" a="1"/>
  <c r="R57" i="15" s="1"/>
  <c r="R58" i="15" a="1"/>
  <c r="R58" i="15" s="1"/>
  <c r="R59" i="15" a="1"/>
  <c r="R59" i="15" s="1"/>
  <c r="R60" i="15" a="1"/>
  <c r="R60" i="15" s="1"/>
  <c r="Y7" i="15"/>
  <c r="M2" i="15"/>
  <c r="S37" i="15" a="1"/>
  <c r="S37" i="15" s="1"/>
  <c r="Z37" i="15" a="1"/>
  <c r="Z37" i="15" s="1"/>
  <c r="U47" i="15" a="1"/>
  <c r="U47" i="15" s="1"/>
  <c r="Y46" i="15" a="1"/>
  <c r="Y46" i="15" s="1"/>
  <c r="AC46" i="15" a="1"/>
  <c r="AC46" i="15" s="1"/>
  <c r="AC37" i="15" a="1"/>
  <c r="AC37" i="15" s="1"/>
  <c r="AB46" i="15" a="1"/>
  <c r="AB46" i="15" s="1"/>
  <c r="AA37" i="15" a="1"/>
  <c r="AA37" i="15" s="1"/>
  <c r="Y48" i="15" a="1"/>
  <c r="Y48" i="15" s="1"/>
  <c r="V46" i="15" a="1"/>
  <c r="V46" i="15" s="1"/>
  <c r="T47" i="15" a="1"/>
  <c r="T47" i="15" s="1"/>
  <c r="X48" i="15" a="1"/>
  <c r="X48" i="15" s="1"/>
  <c r="U46" i="15" a="1"/>
  <c r="U46" i="15" s="1"/>
  <c r="AA48" i="15" a="1"/>
  <c r="AA48" i="15" s="1"/>
  <c r="W48" i="15" a="1"/>
  <c r="W48" i="15" s="1"/>
  <c r="AC45" i="15" a="1"/>
  <c r="AC45" i="15" s="1"/>
  <c r="U48" i="15" a="1"/>
  <c r="U48" i="15" s="1"/>
  <c r="Z45" i="15" a="1"/>
  <c r="Z45" i="15" s="1"/>
  <c r="T48" i="15" a="1"/>
  <c r="T48" i="15" s="1"/>
  <c r="V45" i="15" a="1"/>
  <c r="V45" i="15" s="1"/>
  <c r="Z44" i="15" a="1"/>
  <c r="Z44" i="15" s="1"/>
  <c r="AB47" i="15" a="1"/>
  <c r="AB47" i="15" s="1"/>
  <c r="W44" i="15" a="1"/>
  <c r="W44" i="15" s="1"/>
  <c r="AA47" i="15" a="1"/>
  <c r="AA47" i="15" s="1"/>
  <c r="X47" i="15" a="1"/>
  <c r="X47" i="15" s="1"/>
  <c r="AA41" i="15" a="1"/>
  <c r="AA41" i="15" s="1"/>
  <c r="AB45" i="15" a="1"/>
  <c r="AB45" i="15" s="1"/>
  <c r="Y44" i="15" a="1"/>
  <c r="Y44" i="15" s="1"/>
  <c r="W42" i="15" a="1"/>
  <c r="W42" i="15" s="1"/>
  <c r="Y45" i="15" a="1"/>
  <c r="Y45" i="15" s="1"/>
  <c r="V44" i="15" a="1"/>
  <c r="V44" i="15" s="1"/>
  <c r="W45" i="15" a="1"/>
  <c r="W45" i="15" s="1"/>
  <c r="T44" i="15" a="1"/>
  <c r="T44" i="15" s="1"/>
  <c r="T41" i="15" a="1"/>
  <c r="T41" i="15" s="1"/>
  <c r="Z46" i="15" a="1"/>
  <c r="Z46" i="15" s="1"/>
  <c r="U37" i="15" a="1"/>
  <c r="U37" i="15" s="1"/>
  <c r="AC47" i="15" a="1"/>
  <c r="AC47" i="15" s="1"/>
  <c r="S44" i="15" a="1"/>
  <c r="S44" i="15" s="1"/>
  <c r="X40" i="15" a="1"/>
  <c r="X40" i="15" s="1"/>
  <c r="X46" i="15" a="1"/>
  <c r="X46" i="15" s="1"/>
  <c r="U45" i="15" a="1"/>
  <c r="U45" i="15" s="1"/>
  <c r="AC43" i="15" a="1"/>
  <c r="AC43" i="15" s="1"/>
  <c r="S45" i="15" a="1"/>
  <c r="S45" i="15" s="1"/>
  <c r="AA43" i="15" a="1"/>
  <c r="AA43" i="15" s="1"/>
  <c r="AB39" i="15" a="1"/>
  <c r="AB39" i="15" s="1"/>
  <c r="AB48" i="15" a="1"/>
  <c r="AB48" i="15" s="1"/>
  <c r="Y47" i="15" a="1"/>
  <c r="Y47" i="15" s="1"/>
  <c r="AC44" i="15" a="1"/>
  <c r="AC44" i="15" s="1"/>
  <c r="Z43" i="15" a="1"/>
  <c r="Z43" i="15" s="1"/>
  <c r="U39" i="15" a="1"/>
  <c r="U39" i="15" s="1"/>
  <c r="V47" i="15" a="1"/>
  <c r="V47" i="15" s="1"/>
  <c r="S46" i="15" a="1"/>
  <c r="S46" i="15" s="1"/>
  <c r="AA44" i="15" a="1"/>
  <c r="AA44" i="15" s="1"/>
  <c r="Z48" i="15" a="1"/>
  <c r="Z48" i="15" s="1"/>
  <c r="S43" i="15" a="1"/>
  <c r="S43" i="15" s="1"/>
  <c r="Y38" i="15" a="1"/>
  <c r="Y38" i="15" s="1"/>
  <c r="W47" i="15" a="1"/>
  <c r="W47" i="15" s="1"/>
  <c r="T46" i="15" a="1"/>
  <c r="T46" i="15" s="1"/>
  <c r="AB44" i="15" a="1"/>
  <c r="AB44" i="15" s="1"/>
  <c r="Y43" i="15" a="1"/>
  <c r="Y43" i="15" s="1"/>
  <c r="AC42" i="15" a="1"/>
  <c r="AC42" i="15" s="1"/>
  <c r="Z41" i="15" a="1"/>
  <c r="Z41" i="15" s="1"/>
  <c r="W40" i="15" a="1"/>
  <c r="W40" i="15" s="1"/>
  <c r="T39" i="15" a="1"/>
  <c r="T39" i="15" s="1"/>
  <c r="S48" i="15" a="1"/>
  <c r="S48" i="15" s="1"/>
  <c r="AA46" i="15" a="1"/>
  <c r="AA46" i="15" s="1"/>
  <c r="X45" i="15" a="1"/>
  <c r="X45" i="15" s="1"/>
  <c r="U44" i="15" a="1"/>
  <c r="U44" i="15" s="1"/>
  <c r="V42" i="15" a="1"/>
  <c r="V42" i="15" s="1"/>
  <c r="S41" i="15" a="1"/>
  <c r="S41" i="15" s="1"/>
  <c r="AA39" i="15" a="1"/>
  <c r="AA39" i="15" s="1"/>
  <c r="X38" i="15" a="1"/>
  <c r="X38" i="15" s="1"/>
  <c r="T37" i="15" a="1"/>
  <c r="T37" i="15" s="1"/>
  <c r="X43" i="15" a="1"/>
  <c r="X43" i="15" s="1"/>
  <c r="AB42" i="15" a="1"/>
  <c r="AB42" i="15" s="1"/>
  <c r="U42" i="15" a="1"/>
  <c r="U42" i="15" s="1"/>
  <c r="Y41" i="15" a="1"/>
  <c r="Y41" i="15" s="1"/>
  <c r="AC40" i="15" a="1"/>
  <c r="AC40" i="15" s="1"/>
  <c r="V40" i="15" a="1"/>
  <c r="V40" i="15" s="1"/>
  <c r="Z39" i="15" a="1"/>
  <c r="Z39" i="15" s="1"/>
  <c r="S39" i="15" a="1"/>
  <c r="S39" i="15" s="1"/>
  <c r="W38" i="15" a="1"/>
  <c r="W38" i="15" s="1"/>
  <c r="W43" i="15" a="1"/>
  <c r="W43" i="15" s="1"/>
  <c r="AA42" i="15" a="1"/>
  <c r="AA42" i="15" s="1"/>
  <c r="T42" i="15" a="1"/>
  <c r="T42" i="15" s="1"/>
  <c r="X41" i="15" a="1"/>
  <c r="X41" i="15" s="1"/>
  <c r="AB40" i="15" a="1"/>
  <c r="AB40" i="15" s="1"/>
  <c r="U40" i="15" a="1"/>
  <c r="U40" i="15" s="1"/>
  <c r="Y39" i="15" a="1"/>
  <c r="Y39" i="15" s="1"/>
  <c r="AC38" i="15" a="1"/>
  <c r="AC38" i="15" s="1"/>
  <c r="V38" i="15" a="1"/>
  <c r="V38" i="15" s="1"/>
  <c r="AB37" i="15" a="1"/>
  <c r="AB37" i="15" s="1"/>
  <c r="V43" i="15" a="1"/>
  <c r="V43" i="15" s="1"/>
  <c r="Z42" i="15" a="1"/>
  <c r="Z42" i="15" s="1"/>
  <c r="S42" i="15" a="1"/>
  <c r="S42" i="15" s="1"/>
  <c r="W41" i="15" a="1"/>
  <c r="W41" i="15" s="1"/>
  <c r="AA40" i="15" a="1"/>
  <c r="AA40" i="15" s="1"/>
  <c r="T40" i="15" a="1"/>
  <c r="T40" i="15" s="1"/>
  <c r="X39" i="15" a="1"/>
  <c r="X39" i="15" s="1"/>
  <c r="AB38" i="15" a="1"/>
  <c r="AB38" i="15" s="1"/>
  <c r="U38" i="15" a="1"/>
  <c r="U38" i="15" s="1"/>
  <c r="AC48" i="15" a="1"/>
  <c r="AC48" i="15" s="1"/>
  <c r="Z47" i="15" a="1"/>
  <c r="Z47" i="15" s="1"/>
  <c r="W46" i="15" a="1"/>
  <c r="W46" i="15" s="1"/>
  <c r="T45" i="15" a="1"/>
  <c r="T45" i="15" s="1"/>
  <c r="AB43" i="15" a="1"/>
  <c r="AB43" i="15" s="1"/>
  <c r="Y42" i="15" a="1"/>
  <c r="Y42" i="15" s="1"/>
  <c r="V41" i="15" a="1"/>
  <c r="V41" i="15" s="1"/>
  <c r="S40" i="15" a="1"/>
  <c r="S40" i="15" s="1"/>
  <c r="T38" i="15" a="1"/>
  <c r="T38" i="15" s="1"/>
  <c r="V48" i="15" a="1"/>
  <c r="V48" i="15" s="1"/>
  <c r="S47" i="15" a="1"/>
  <c r="S47" i="15" s="1"/>
  <c r="AA45" i="15" a="1"/>
  <c r="AA45" i="15" s="1"/>
  <c r="X44" i="15" a="1"/>
  <c r="X44" i="15" s="1"/>
  <c r="U43" i="15" a="1"/>
  <c r="U43" i="15" s="1"/>
  <c r="AC41" i="15" a="1"/>
  <c r="AC41" i="15" s="1"/>
  <c r="Z40" i="15" a="1"/>
  <c r="Z40" i="15" s="1"/>
  <c r="W39" i="15" a="1"/>
  <c r="W39" i="15" s="1"/>
  <c r="AA38" i="15" a="1"/>
  <c r="AA38" i="15" s="1"/>
  <c r="T43" i="15" a="1"/>
  <c r="T43" i="15" s="1"/>
  <c r="X42" i="15" a="1"/>
  <c r="X42" i="15" s="1"/>
  <c r="AB41" i="15" a="1"/>
  <c r="AB41" i="15" s="1"/>
  <c r="U41" i="15" a="1"/>
  <c r="U41" i="15" s="1"/>
  <c r="Y40" i="15" a="1"/>
  <c r="Y40" i="15" s="1"/>
  <c r="AC39" i="15" a="1"/>
  <c r="AC39" i="15" s="1"/>
  <c r="V39" i="15" a="1"/>
  <c r="V39" i="15" s="1"/>
  <c r="Z38" i="15" a="1"/>
  <c r="Z38" i="15" s="1"/>
  <c r="S38" i="15" a="1"/>
  <c r="S38" i="15" s="1"/>
  <c r="V37" i="15" a="1"/>
  <c r="V37" i="15" s="1"/>
  <c r="W37" i="15" a="1"/>
  <c r="W37" i="15" s="1"/>
  <c r="X37" i="15" a="1"/>
  <c r="X37" i="15" s="1"/>
  <c r="Y37" i="15" a="1"/>
  <c r="Y37" i="15" s="1"/>
  <c r="R42" i="15" a="1"/>
  <c r="R39" i="15" a="1"/>
  <c r="R47" i="15" a="1"/>
  <c r="R47" i="15" s="1"/>
  <c r="R48" i="15" a="1"/>
  <c r="R48" i="15" s="1"/>
  <c r="R40" i="15" a="1"/>
  <c r="R37" i="15" a="1"/>
  <c r="R38" i="15" a="1"/>
  <c r="R45" i="15" a="1"/>
  <c r="R45" i="15" s="1"/>
  <c r="R46" i="15" a="1"/>
  <c r="R46" i="15" s="1"/>
  <c r="R44" i="15" a="1"/>
  <c r="R44" i="15" s="1"/>
  <c r="R43" i="15" a="1"/>
  <c r="R41" i="15" a="1"/>
  <c r="B3" i="6"/>
  <c r="M5" i="6" a="1"/>
  <c r="M5" i="6" s="1"/>
  <c r="J10" i="6" a="1"/>
  <c r="J10" i="6" s="1"/>
  <c r="K13" i="6" a="1"/>
  <c r="K13" i="6" s="1"/>
  <c r="M19" i="6" a="1"/>
  <c r="M19" i="6" s="1"/>
  <c r="J24" i="6" a="1"/>
  <c r="J24" i="6" s="1"/>
  <c r="K27" i="6" a="1"/>
  <c r="K27" i="6" s="1"/>
  <c r="H21" i="6" a="1"/>
  <c r="H21" i="6" s="1"/>
  <c r="H28" i="6" a="1"/>
  <c r="H28" i="6" s="1"/>
  <c r="F21" i="6" a="1"/>
  <c r="F21" i="6" s="1"/>
  <c r="F14" i="6" a="1"/>
  <c r="F14" i="6" s="1"/>
  <c r="J20" i="6" a="1"/>
  <c r="J20" i="6" s="1"/>
  <c r="K23" i="6" a="1"/>
  <c r="K23" i="6" s="1"/>
  <c r="M6" i="6" a="1"/>
  <c r="M6" i="6" s="1"/>
  <c r="K28" i="6" a="1"/>
  <c r="K28" i="6" s="1"/>
  <c r="F6" i="6" a="1"/>
  <c r="F6" i="6" s="1"/>
  <c r="J8" i="6" a="1"/>
  <c r="J8" i="6" s="1"/>
  <c r="M17" i="6" a="1"/>
  <c r="M17" i="6" s="1"/>
  <c r="J22" i="6" a="1"/>
  <c r="J22" i="6" s="1"/>
  <c r="F7" i="6" a="1"/>
  <c r="F7" i="6" s="1"/>
  <c r="K8" i="6" a="1"/>
  <c r="K8" i="6" s="1"/>
  <c r="J4" i="6" a="1"/>
  <c r="J4" i="6" s="1"/>
  <c r="J7" i="6" a="1"/>
  <c r="J7" i="6" s="1"/>
  <c r="K10" i="6" a="1"/>
  <c r="K10" i="6" s="1"/>
  <c r="M16" i="6" a="1"/>
  <c r="M16" i="6" s="1"/>
  <c r="J21" i="6" a="1"/>
  <c r="J21" i="6" s="1"/>
  <c r="K24" i="6" a="1"/>
  <c r="K24" i="6" s="1"/>
  <c r="M30" i="6" a="1"/>
  <c r="M30" i="6" s="1"/>
  <c r="H9" i="6" a="1"/>
  <c r="H9" i="6" s="1"/>
  <c r="H15" i="6" a="1"/>
  <c r="H15" i="6" s="1"/>
  <c r="F10" i="6" a="1"/>
  <c r="F10" i="6" s="1"/>
  <c r="F22" i="6" a="1"/>
  <c r="F22" i="6" s="1"/>
  <c r="H17" i="6" a="1"/>
  <c r="H17" i="6" s="1"/>
  <c r="M14" i="6" a="1"/>
  <c r="M14" i="6" s="1"/>
  <c r="K4" i="6" a="1"/>
  <c r="K4" i="6" s="1"/>
  <c r="K7" i="6" a="1"/>
  <c r="K7" i="6" s="1"/>
  <c r="M13" i="6" a="1"/>
  <c r="M13" i="6" s="1"/>
  <c r="J18" i="6" a="1"/>
  <c r="J18" i="6" s="1"/>
  <c r="K21" i="6" a="1"/>
  <c r="K21" i="6" s="1"/>
  <c r="M27" i="6" a="1"/>
  <c r="M27" i="6" s="1"/>
  <c r="H4" i="6" a="1"/>
  <c r="H4" i="6" s="1"/>
  <c r="H22" i="6" a="1"/>
  <c r="H22" i="6" s="1"/>
  <c r="H29" i="6" a="1"/>
  <c r="H29" i="6" s="1"/>
  <c r="F11" i="6" a="1"/>
  <c r="F11" i="6" s="1"/>
  <c r="J6" i="6" a="1"/>
  <c r="J6" i="6" s="1"/>
  <c r="H24" i="6" a="1"/>
  <c r="H24" i="6" s="1"/>
  <c r="M20" i="6" a="1"/>
  <c r="M20" i="6" s="1"/>
  <c r="M10" i="6" a="1"/>
  <c r="M10" i="6" s="1"/>
  <c r="J15" i="6" a="1"/>
  <c r="J15" i="6" s="1"/>
  <c r="K18" i="6" a="1"/>
  <c r="K18" i="6" s="1"/>
  <c r="M24" i="6" a="1"/>
  <c r="M24" i="6" s="1"/>
  <c r="J29" i="6" a="1"/>
  <c r="J29" i="6" s="1"/>
  <c r="F12" i="6" a="1"/>
  <c r="F12" i="6" s="1"/>
  <c r="F23" i="6" a="1"/>
  <c r="F23" i="6" s="1"/>
  <c r="M4" i="6" a="1"/>
  <c r="M4" i="6" s="1"/>
  <c r="M7" i="6" a="1"/>
  <c r="M7" i="6" s="1"/>
  <c r="J12" i="6" a="1"/>
  <c r="J12" i="6" s="1"/>
  <c r="K15" i="6" a="1"/>
  <c r="K15" i="6" s="1"/>
  <c r="M21" i="6" a="1"/>
  <c r="M21" i="6" s="1"/>
  <c r="J26" i="6" a="1"/>
  <c r="J26" i="6" s="1"/>
  <c r="K29" i="6" a="1"/>
  <c r="K29" i="6" s="1"/>
  <c r="H5" i="6" a="1"/>
  <c r="H5" i="6" s="1"/>
  <c r="H10" i="6" a="1"/>
  <c r="H10" i="6" s="1"/>
  <c r="H16" i="6" a="1"/>
  <c r="H16" i="6" s="1"/>
  <c r="H23" i="6" a="1"/>
  <c r="H23" i="6" s="1"/>
  <c r="H30" i="6" a="1"/>
  <c r="H30" i="6" s="1"/>
  <c r="F13" i="6" a="1"/>
  <c r="F13" i="6" s="1"/>
  <c r="K9" i="6" a="1"/>
  <c r="K9" i="6" s="1"/>
  <c r="M15" i="6" a="1"/>
  <c r="M15" i="6" s="1"/>
  <c r="H11" i="6" a="1"/>
  <c r="H11" i="6" s="1"/>
  <c r="F15" i="6" a="1"/>
  <c r="F15" i="6" s="1"/>
  <c r="F25" i="6" a="1"/>
  <c r="F25" i="6" s="1"/>
  <c r="F27" i="6" a="1"/>
  <c r="F27" i="6" s="1"/>
  <c r="J11" i="6" a="1"/>
  <c r="J11" i="6" s="1"/>
  <c r="K14" i="6" a="1"/>
  <c r="K14" i="6" s="1"/>
  <c r="F28" i="6" a="1"/>
  <c r="F28" i="6" s="1"/>
  <c r="H19" i="6" a="1"/>
  <c r="H19" i="6" s="1"/>
  <c r="F17" i="6" a="1"/>
  <c r="F17" i="6" s="1"/>
  <c r="J19" i="6" a="1"/>
  <c r="J19" i="6" s="1"/>
  <c r="M28" i="6" a="1"/>
  <c r="M28" i="6" s="1"/>
  <c r="H13" i="6" a="1"/>
  <c r="H13" i="6" s="1"/>
  <c r="F30" i="6" a="1"/>
  <c r="F30" i="6" s="1"/>
  <c r="J9" i="6" a="1"/>
  <c r="J9" i="6" s="1"/>
  <c r="K12" i="6" a="1"/>
  <c r="K12" i="6" s="1"/>
  <c r="M18" i="6" a="1"/>
  <c r="M18" i="6" s="1"/>
  <c r="J23" i="6" a="1"/>
  <c r="J23" i="6" s="1"/>
  <c r="K26" i="6" a="1"/>
  <c r="K26" i="6" s="1"/>
  <c r="F24" i="6" a="1"/>
  <c r="F24" i="6" s="1"/>
  <c r="M29" i="6" a="1"/>
  <c r="M29" i="6" s="1"/>
  <c r="K6" i="6" a="1"/>
  <c r="K6" i="6" s="1"/>
  <c r="M12" i="6" a="1"/>
  <c r="M12" i="6" s="1"/>
  <c r="J17" i="6" a="1"/>
  <c r="J17" i="6" s="1"/>
  <c r="K20" i="6" a="1"/>
  <c r="K20" i="6" s="1"/>
  <c r="M26" i="6" a="1"/>
  <c r="M26" i="6" s="1"/>
  <c r="F4" i="6" a="1"/>
  <c r="F4" i="6" s="1"/>
  <c r="F26" i="6" a="1"/>
  <c r="F26" i="6" s="1"/>
  <c r="J25" i="6" a="1"/>
  <c r="J25" i="6" s="1"/>
  <c r="K11" i="6" a="1"/>
  <c r="K11" i="6" s="1"/>
  <c r="F29" i="6" a="1"/>
  <c r="F29" i="6" s="1"/>
  <c r="K22" i="6" a="1"/>
  <c r="K22" i="6" s="1"/>
  <c r="F18" i="6" a="1"/>
  <c r="F18" i="6" s="1"/>
  <c r="M9" i="6" a="1"/>
  <c r="M9" i="6" s="1"/>
  <c r="J14" i="6" a="1"/>
  <c r="J14" i="6" s="1"/>
  <c r="K17" i="6" a="1"/>
  <c r="K17" i="6" s="1"/>
  <c r="M23" i="6" a="1"/>
  <c r="M23" i="6" s="1"/>
  <c r="J28" i="6" a="1"/>
  <c r="J28" i="6" s="1"/>
  <c r="H6" i="6" a="1"/>
  <c r="H6" i="6" s="1"/>
  <c r="H12" i="6" a="1"/>
  <c r="H12" i="6" s="1"/>
  <c r="H18" i="6" a="1"/>
  <c r="H18" i="6" s="1"/>
  <c r="H25" i="6" a="1"/>
  <c r="H25" i="6" s="1"/>
  <c r="F5" i="6" a="1"/>
  <c r="F5" i="6" s="1"/>
  <c r="F16" i="6" a="1"/>
  <c r="F16" i="6" s="1"/>
  <c r="K25" i="6" a="1"/>
  <c r="K25" i="6" s="1"/>
  <c r="F8" i="6" a="1"/>
  <c r="F8" i="6" s="1"/>
  <c r="K5" i="6" a="1"/>
  <c r="K5" i="6" s="1"/>
  <c r="M11" i="6" a="1"/>
  <c r="M11" i="6" s="1"/>
  <c r="J16" i="6" a="1"/>
  <c r="J16" i="6" s="1"/>
  <c r="K19" i="6" a="1"/>
  <c r="K19" i="6" s="1"/>
  <c r="M25" i="6" a="1"/>
  <c r="M25" i="6" s="1"/>
  <c r="J30" i="6" a="1"/>
  <c r="J30" i="6" s="1"/>
  <c r="H8" i="6" a="1"/>
  <c r="H8" i="6" s="1"/>
  <c r="H20" i="6" a="1"/>
  <c r="H20" i="6" s="1"/>
  <c r="H27" i="6" a="1"/>
  <c r="H27" i="6" s="1"/>
  <c r="F19" i="6" a="1"/>
  <c r="F19" i="6" s="1"/>
  <c r="H7" i="6" a="1"/>
  <c r="H7" i="6" s="1"/>
  <c r="M8" i="6" a="1"/>
  <c r="M8" i="6" s="1"/>
  <c r="J13" i="6" a="1"/>
  <c r="J13" i="6" s="1"/>
  <c r="K16" i="6" a="1"/>
  <c r="K16" i="6" s="1"/>
  <c r="M22" i="6" a="1"/>
  <c r="M22" i="6" s="1"/>
  <c r="J27" i="6" a="1"/>
  <c r="J27" i="6" s="1"/>
  <c r="K30" i="6" a="1"/>
  <c r="K30" i="6" s="1"/>
  <c r="H14" i="6" a="1"/>
  <c r="H14" i="6" s="1"/>
  <c r="F9" i="6" a="1"/>
  <c r="F9" i="6" s="1"/>
  <c r="F20" i="6" a="1"/>
  <c r="F20" i="6" s="1"/>
  <c r="H26" i="6" a="1"/>
  <c r="H26" i="6" s="1"/>
  <c r="J5" i="6" a="1"/>
  <c r="J5" i="6" s="1"/>
  <c r="C3" i="6"/>
  <c r="I4" i="6" a="1"/>
  <c r="I4" i="6" s="1"/>
  <c r="I7" i="6" a="1"/>
  <c r="I7" i="6" s="1"/>
  <c r="N8" i="6" a="1"/>
  <c r="N8" i="6" s="1"/>
  <c r="O11" i="6" a="1"/>
  <c r="O11" i="6" s="1"/>
  <c r="P14" i="6" a="1"/>
  <c r="P14" i="6" s="1"/>
  <c r="L16" i="6" a="1"/>
  <c r="L16" i="6" s="1"/>
  <c r="Q17" i="6" a="1"/>
  <c r="Q17" i="6" s="1"/>
  <c r="I21" i="6" a="1"/>
  <c r="I21" i="6" s="1"/>
  <c r="N22" i="6" a="1"/>
  <c r="N22" i="6" s="1"/>
  <c r="O25" i="6" a="1"/>
  <c r="O25" i="6" s="1"/>
  <c r="P28" i="6" a="1"/>
  <c r="P28" i="6" s="1"/>
  <c r="L30" i="6" a="1"/>
  <c r="L30" i="6" s="1"/>
  <c r="G15" i="6" a="1"/>
  <c r="G15" i="6" s="1"/>
  <c r="E5" i="6" a="1"/>
  <c r="E5" i="6" s="1"/>
  <c r="E16" i="6" a="1"/>
  <c r="E16" i="6" s="1"/>
  <c r="E29" i="6" a="1"/>
  <c r="E29" i="6" s="1"/>
  <c r="E6" i="6" a="1"/>
  <c r="E6" i="6" s="1"/>
  <c r="E30" i="6" a="1"/>
  <c r="E30" i="6" s="1"/>
  <c r="N4" i="6" a="1"/>
  <c r="N4" i="6" s="1"/>
  <c r="P10" i="6" a="1"/>
  <c r="P10" i="6" s="1"/>
  <c r="G6" i="6" a="1"/>
  <c r="G6" i="6" s="1"/>
  <c r="E23" i="6" a="1"/>
  <c r="E23" i="6" s="1"/>
  <c r="O12" i="6" a="1"/>
  <c r="O12" i="6" s="1"/>
  <c r="L17" i="6" a="1"/>
  <c r="L17" i="6" s="1"/>
  <c r="I22" i="6" a="1"/>
  <c r="I22" i="6" s="1"/>
  <c r="I16" i="6" a="1"/>
  <c r="I16" i="6" s="1"/>
  <c r="L25" i="6" a="1"/>
  <c r="L25" i="6" s="1"/>
  <c r="E14" i="6" a="1"/>
  <c r="E14" i="6" s="1"/>
  <c r="N5" i="6" a="1"/>
  <c r="N5" i="6" s="1"/>
  <c r="O8" i="6" a="1"/>
  <c r="O8" i="6" s="1"/>
  <c r="P11" i="6" a="1"/>
  <c r="P11" i="6" s="1"/>
  <c r="L13" i="6" a="1"/>
  <c r="L13" i="6" s="1"/>
  <c r="Q14" i="6" a="1"/>
  <c r="Q14" i="6" s="1"/>
  <c r="I18" i="6" a="1"/>
  <c r="I18" i="6" s="1"/>
  <c r="N19" i="6" a="1"/>
  <c r="N19" i="6" s="1"/>
  <c r="O22" i="6" a="1"/>
  <c r="O22" i="6" s="1"/>
  <c r="P25" i="6" a="1"/>
  <c r="P25" i="6" s="1"/>
  <c r="L27" i="6" a="1"/>
  <c r="L27" i="6" s="1"/>
  <c r="Q28" i="6" a="1"/>
  <c r="Q28" i="6" s="1"/>
  <c r="G4" i="6" a="1"/>
  <c r="G4" i="6" s="1"/>
  <c r="G22" i="6" a="1"/>
  <c r="G22" i="6" s="1"/>
  <c r="G29" i="6" a="1"/>
  <c r="G29" i="6" s="1"/>
  <c r="E17" i="6" a="1"/>
  <c r="E17" i="6" s="1"/>
  <c r="Q13" i="6" a="1"/>
  <c r="Q13" i="6" s="1"/>
  <c r="L26" i="6" a="1"/>
  <c r="L26" i="6" s="1"/>
  <c r="G19" i="6" a="1"/>
  <c r="G19" i="6" s="1"/>
  <c r="L14" i="6" a="1"/>
  <c r="L14" i="6" s="1"/>
  <c r="Q29" i="6" a="1"/>
  <c r="Q29" i="6" s="1"/>
  <c r="E25" i="6" a="1"/>
  <c r="E25" i="6" s="1"/>
  <c r="Q26" i="6" a="1"/>
  <c r="Q26" i="6" s="1"/>
  <c r="E26" i="6" a="1"/>
  <c r="E26" i="6" s="1"/>
  <c r="O5" i="6" a="1"/>
  <c r="O5" i="6" s="1"/>
  <c r="P8" i="6" a="1"/>
  <c r="P8" i="6" s="1"/>
  <c r="L10" i="6" a="1"/>
  <c r="L10" i="6" s="1"/>
  <c r="Q11" i="6" a="1"/>
  <c r="Q11" i="6" s="1"/>
  <c r="I15" i="6" a="1"/>
  <c r="I15" i="6" s="1"/>
  <c r="N16" i="6" a="1"/>
  <c r="N16" i="6" s="1"/>
  <c r="O19" i="6" a="1"/>
  <c r="O19" i="6" s="1"/>
  <c r="P22" i="6" a="1"/>
  <c r="P22" i="6" s="1"/>
  <c r="L24" i="6" a="1"/>
  <c r="L24" i="6" s="1"/>
  <c r="Q25" i="6" a="1"/>
  <c r="Q25" i="6" s="1"/>
  <c r="I29" i="6" a="1"/>
  <c r="I29" i="6" s="1"/>
  <c r="N30" i="6" a="1"/>
  <c r="N30" i="6" s="1"/>
  <c r="G10" i="6" a="1"/>
  <c r="G10" i="6" s="1"/>
  <c r="G16" i="6" a="1"/>
  <c r="G16" i="6" s="1"/>
  <c r="E7" i="6" a="1"/>
  <c r="E7" i="6" s="1"/>
  <c r="E18" i="6" a="1"/>
  <c r="E18" i="6" s="1"/>
  <c r="E9" i="6" a="1"/>
  <c r="E9" i="6" s="1"/>
  <c r="I17" i="6" a="1"/>
  <c r="I17" i="6" s="1"/>
  <c r="Q27" i="6" a="1"/>
  <c r="Q27" i="6" s="1"/>
  <c r="E22" i="6" a="1"/>
  <c r="E22" i="6" s="1"/>
  <c r="E11" i="6" a="1"/>
  <c r="E11" i="6" s="1"/>
  <c r="N9" i="6" a="1"/>
  <c r="N9" i="6" s="1"/>
  <c r="G13" i="6" a="1"/>
  <c r="G13" i="6" s="1"/>
  <c r="P9" i="6" a="1"/>
  <c r="P9" i="6" s="1"/>
  <c r="G8" i="6" a="1"/>
  <c r="G8" i="6" s="1"/>
  <c r="L4" i="6" a="1"/>
  <c r="L4" i="6" s="1"/>
  <c r="P5" i="6" a="1"/>
  <c r="P5" i="6" s="1"/>
  <c r="L7" i="6" a="1"/>
  <c r="L7" i="6" s="1"/>
  <c r="Q8" i="6" a="1"/>
  <c r="Q8" i="6" s="1"/>
  <c r="I12" i="6" a="1"/>
  <c r="I12" i="6" s="1"/>
  <c r="N13" i="6" a="1"/>
  <c r="N13" i="6" s="1"/>
  <c r="O16" i="6" a="1"/>
  <c r="O16" i="6" s="1"/>
  <c r="P19" i="6" a="1"/>
  <c r="P19" i="6" s="1"/>
  <c r="L21" i="6" a="1"/>
  <c r="L21" i="6" s="1"/>
  <c r="Q22" i="6" a="1"/>
  <c r="Q22" i="6" s="1"/>
  <c r="I26" i="6" a="1"/>
  <c r="I26" i="6" s="1"/>
  <c r="N27" i="6" a="1"/>
  <c r="N27" i="6" s="1"/>
  <c r="O30" i="6" a="1"/>
  <c r="O30" i="6" s="1"/>
  <c r="G5" i="6" a="1"/>
  <c r="G5" i="6" s="1"/>
  <c r="G23" i="6" a="1"/>
  <c r="G23" i="6" s="1"/>
  <c r="G30" i="6" a="1"/>
  <c r="G30" i="6" s="1"/>
  <c r="E8" i="6" a="1"/>
  <c r="E8" i="6" s="1"/>
  <c r="E19" i="6" a="1"/>
  <c r="E19" i="6" s="1"/>
  <c r="Q5" i="6" a="1"/>
  <c r="Q5" i="6" s="1"/>
  <c r="I9" i="6" a="1"/>
  <c r="I9" i="6" s="1"/>
  <c r="N10" i="6" a="1"/>
  <c r="N10" i="6" s="1"/>
  <c r="O13" i="6" a="1"/>
  <c r="O13" i="6" s="1"/>
  <c r="P16" i="6" a="1"/>
  <c r="P16" i="6" s="1"/>
  <c r="L18" i="6" a="1"/>
  <c r="L18" i="6" s="1"/>
  <c r="Q19" i="6" a="1"/>
  <c r="Q19" i="6" s="1"/>
  <c r="I23" i="6" a="1"/>
  <c r="I23" i="6" s="1"/>
  <c r="N24" i="6" a="1"/>
  <c r="N24" i="6" s="1"/>
  <c r="O27" i="6" a="1"/>
  <c r="O27" i="6" s="1"/>
  <c r="P30" i="6" a="1"/>
  <c r="P30" i="6" s="1"/>
  <c r="E20" i="6" a="1"/>
  <c r="E20" i="6" s="1"/>
  <c r="E21" i="6" a="1"/>
  <c r="E21" i="6" s="1"/>
  <c r="L12" i="6" a="1"/>
  <c r="L12" i="6" s="1"/>
  <c r="O21" i="6" a="1"/>
  <c r="O21" i="6" s="1"/>
  <c r="P24" i="6" a="1"/>
  <c r="P24" i="6" s="1"/>
  <c r="Q4" i="6" a="1"/>
  <c r="Q4" i="6" s="1"/>
  <c r="Q18" i="6" a="1"/>
  <c r="Q18" i="6" s="1"/>
  <c r="N23" i="6" a="1"/>
  <c r="N23" i="6" s="1"/>
  <c r="P29" i="6" a="1"/>
  <c r="P29" i="6" s="1"/>
  <c r="G26" i="6" a="1"/>
  <c r="G26" i="6" s="1"/>
  <c r="I5" i="6" a="1"/>
  <c r="I5" i="6" s="1"/>
  <c r="O9" i="6" a="1"/>
  <c r="O9" i="6" s="1"/>
  <c r="I19" i="6" a="1"/>
  <c r="I19" i="6" s="1"/>
  <c r="O23" i="6" a="1"/>
  <c r="O23" i="6" s="1"/>
  <c r="L28" i="6" a="1"/>
  <c r="L28" i="6" s="1"/>
  <c r="I6" i="6" a="1"/>
  <c r="I6" i="6" s="1"/>
  <c r="N7" i="6" a="1"/>
  <c r="N7" i="6" s="1"/>
  <c r="O10" i="6" a="1"/>
  <c r="O10" i="6" s="1"/>
  <c r="P13" i="6" a="1"/>
  <c r="P13" i="6" s="1"/>
  <c r="L15" i="6" a="1"/>
  <c r="L15" i="6" s="1"/>
  <c r="Q16" i="6" a="1"/>
  <c r="Q16" i="6" s="1"/>
  <c r="I20" i="6" a="1"/>
  <c r="I20" i="6" s="1"/>
  <c r="N21" i="6" a="1"/>
  <c r="N21" i="6" s="1"/>
  <c r="O24" i="6" a="1"/>
  <c r="O24" i="6" s="1"/>
  <c r="P27" i="6" a="1"/>
  <c r="P27" i="6" s="1"/>
  <c r="L29" i="6" a="1"/>
  <c r="L29" i="6" s="1"/>
  <c r="Q30" i="6" a="1"/>
  <c r="Q30" i="6" s="1"/>
  <c r="G11" i="6" a="1"/>
  <c r="G11" i="6" s="1"/>
  <c r="G17" i="6" a="1"/>
  <c r="G17" i="6" s="1"/>
  <c r="G24" i="6" a="1"/>
  <c r="G24" i="6" s="1"/>
  <c r="O7" i="6" a="1"/>
  <c r="O7" i="6" s="1"/>
  <c r="N18" i="6" a="1"/>
  <c r="N18" i="6" s="1"/>
  <c r="G27" i="6" a="1"/>
  <c r="G27" i="6" s="1"/>
  <c r="O4" i="6" a="1"/>
  <c r="O4" i="6" s="1"/>
  <c r="P7" i="6" a="1"/>
  <c r="P7" i="6" s="1"/>
  <c r="L9" i="6" a="1"/>
  <c r="L9" i="6" s="1"/>
  <c r="Q10" i="6" a="1"/>
  <c r="Q10" i="6" s="1"/>
  <c r="I14" i="6" a="1"/>
  <c r="I14" i="6" s="1"/>
  <c r="N15" i="6" a="1"/>
  <c r="N15" i="6" s="1"/>
  <c r="O18" i="6" a="1"/>
  <c r="O18" i="6" s="1"/>
  <c r="P21" i="6" a="1"/>
  <c r="P21" i="6" s="1"/>
  <c r="L23" i="6" a="1"/>
  <c r="L23" i="6" s="1"/>
  <c r="Q24" i="6" a="1"/>
  <c r="Q24" i="6" s="1"/>
  <c r="I28" i="6" a="1"/>
  <c r="I28" i="6" s="1"/>
  <c r="N29" i="6" a="1"/>
  <c r="N29" i="6" s="1"/>
  <c r="G12" i="6" a="1"/>
  <c r="G12" i="6" s="1"/>
  <c r="G18" i="6" a="1"/>
  <c r="G18" i="6" s="1"/>
  <c r="G25" i="6" a="1"/>
  <c r="G25" i="6" s="1"/>
  <c r="E10" i="6" a="1"/>
  <c r="E10" i="6" s="1"/>
  <c r="E24" i="6" a="1"/>
  <c r="E24" i="6" s="1"/>
  <c r="P26" i="6" a="1"/>
  <c r="P26" i="6" s="1"/>
  <c r="L11" i="6" a="1"/>
  <c r="L11" i="6" s="1"/>
  <c r="P4" i="6" a="1"/>
  <c r="P4" i="6" s="1"/>
  <c r="L6" i="6" a="1"/>
  <c r="L6" i="6" s="1"/>
  <c r="Q7" i="6" a="1"/>
  <c r="Q7" i="6" s="1"/>
  <c r="I11" i="6" a="1"/>
  <c r="I11" i="6" s="1"/>
  <c r="N12" i="6" a="1"/>
  <c r="N12" i="6" s="1"/>
  <c r="O15" i="6" a="1"/>
  <c r="O15" i="6" s="1"/>
  <c r="P18" i="6" a="1"/>
  <c r="P18" i="6" s="1"/>
  <c r="L20" i="6" a="1"/>
  <c r="L20" i="6" s="1"/>
  <c r="Q21" i="6" a="1"/>
  <c r="Q21" i="6" s="1"/>
  <c r="I25" i="6" a="1"/>
  <c r="I25" i="6" s="1"/>
  <c r="N26" i="6" a="1"/>
  <c r="N26" i="6" s="1"/>
  <c r="O29" i="6" a="1"/>
  <c r="O29" i="6" s="1"/>
  <c r="I8" i="6" a="1"/>
  <c r="I8" i="6" s="1"/>
  <c r="P15" i="6" a="1"/>
  <c r="P15" i="6" s="1"/>
  <c r="O26" i="6" a="1"/>
  <c r="O26" i="6" s="1"/>
  <c r="E12" i="6" a="1"/>
  <c r="E12" i="6" s="1"/>
  <c r="P12" i="6" a="1"/>
  <c r="P12" i="6" s="1"/>
  <c r="E13" i="6" a="1"/>
  <c r="E13" i="6" s="1"/>
  <c r="Q12" i="6" a="1"/>
  <c r="Q12" i="6" s="1"/>
  <c r="P23" i="6" a="1"/>
  <c r="P23" i="6" s="1"/>
  <c r="P6" i="6" a="1"/>
  <c r="P6" i="6" s="1"/>
  <c r="L8" i="6" a="1"/>
  <c r="L8" i="6" s="1"/>
  <c r="Q9" i="6" a="1"/>
  <c r="Q9" i="6" s="1"/>
  <c r="I13" i="6" a="1"/>
  <c r="I13" i="6" s="1"/>
  <c r="N14" i="6" a="1"/>
  <c r="N14" i="6" s="1"/>
  <c r="O17" i="6" a="1"/>
  <c r="O17" i="6" s="1"/>
  <c r="P20" i="6" a="1"/>
  <c r="P20" i="6" s="1"/>
  <c r="L22" i="6" a="1"/>
  <c r="L22" i="6" s="1"/>
  <c r="Q23" i="6" a="1"/>
  <c r="Q23" i="6" s="1"/>
  <c r="I27" i="6" a="1"/>
  <c r="I27" i="6" s="1"/>
  <c r="N28" i="6" a="1"/>
  <c r="N28" i="6" s="1"/>
  <c r="G14" i="6" a="1"/>
  <c r="G14" i="6" s="1"/>
  <c r="E15" i="6" a="1"/>
  <c r="E15" i="6" s="1"/>
  <c r="E27" i="6" a="1"/>
  <c r="E27" i="6" s="1"/>
  <c r="Q15" i="6" a="1"/>
  <c r="Q15" i="6" s="1"/>
  <c r="O6" i="6" a="1"/>
  <c r="O6" i="6" s="1"/>
  <c r="O20" i="6" a="1"/>
  <c r="O20" i="6" s="1"/>
  <c r="G20" i="6" a="1"/>
  <c r="G20" i="6" s="1"/>
  <c r="L5" i="6" a="1"/>
  <c r="L5" i="6" s="1"/>
  <c r="Q6" i="6" a="1"/>
  <c r="Q6" i="6" s="1"/>
  <c r="I10" i="6" a="1"/>
  <c r="I10" i="6" s="1"/>
  <c r="N11" i="6" a="1"/>
  <c r="N11" i="6" s="1"/>
  <c r="O14" i="6" a="1"/>
  <c r="O14" i="6" s="1"/>
  <c r="P17" i="6" a="1"/>
  <c r="P17" i="6" s="1"/>
  <c r="L19" i="6" a="1"/>
  <c r="L19" i="6" s="1"/>
  <c r="Q20" i="6" a="1"/>
  <c r="Q20" i="6" s="1"/>
  <c r="I24" i="6" a="1"/>
  <c r="I24" i="6" s="1"/>
  <c r="N25" i="6" a="1"/>
  <c r="N25" i="6" s="1"/>
  <c r="O28" i="6" a="1"/>
  <c r="O28" i="6" s="1"/>
  <c r="G9" i="6" a="1"/>
  <c r="G9" i="6" s="1"/>
  <c r="G21" i="6" a="1"/>
  <c r="G21" i="6" s="1"/>
  <c r="G28" i="6" a="1"/>
  <c r="G28" i="6" s="1"/>
  <c r="E4" i="6" a="1"/>
  <c r="E4" i="6" s="1"/>
  <c r="E28" i="6" a="1"/>
  <c r="E28" i="6" s="1"/>
  <c r="G7" i="6" a="1"/>
  <c r="G7" i="6" s="1"/>
  <c r="N6" i="6" a="1"/>
  <c r="N6" i="6" s="1"/>
  <c r="N20" i="6" a="1"/>
  <c r="N20" i="6" s="1"/>
  <c r="N17" i="6" a="1"/>
  <c r="N17" i="6" s="1"/>
  <c r="I30" i="6" a="1"/>
  <c r="I30" i="6" s="1"/>
  <c r="Y17" i="15"/>
  <c r="AD17" i="15"/>
  <c r="AE17" i="15"/>
  <c r="AF17" i="15"/>
  <c r="Y9" i="15"/>
  <c r="Y3" i="15"/>
  <c r="Y4" i="15"/>
  <c r="Y5" i="15"/>
  <c r="Y6" i="15"/>
  <c r="Y8" i="15"/>
  <c r="G15" i="13"/>
  <c r="G16" i="13" s="1"/>
  <c r="E17" i="13"/>
  <c r="E18" i="13" s="1"/>
  <c r="C17" i="13"/>
  <c r="C18" i="13" s="1"/>
  <c r="E16" i="13"/>
  <c r="G18" i="13"/>
  <c r="C16" i="13"/>
  <c r="H2" i="15" a="1"/>
  <c r="H2" i="15" s="1"/>
  <c r="S30" i="15" a="1"/>
  <c r="S30" i="15" s="1"/>
  <c r="AC17" i="15"/>
  <c r="AB17" i="15"/>
  <c r="AA17" i="15"/>
  <c r="Z17" i="15"/>
  <c r="X17" i="15"/>
  <c r="W17" i="15"/>
  <c r="V17" i="15"/>
  <c r="U9" i="15"/>
  <c r="T17" i="15"/>
  <c r="S17" i="15"/>
  <c r="R17" i="15"/>
  <c r="AG59" i="15" l="1" a="1"/>
  <c r="AG59" i="15" s="1"/>
  <c r="AG57" i="15" a="1"/>
  <c r="AG57" i="15" s="1"/>
  <c r="AF61" i="15" a="1"/>
  <c r="AF61" i="15" s="1"/>
  <c r="AF62" i="15" a="1"/>
  <c r="AF62" i="15" s="1"/>
  <c r="AD63" i="15" a="1"/>
  <c r="AD63" i="15" s="1"/>
  <c r="AG64" i="15" a="1"/>
  <c r="AG64" i="15" s="1"/>
  <c r="AG66" i="15" a="1"/>
  <c r="AG66" i="15" s="1"/>
  <c r="AG68" i="15" a="1"/>
  <c r="AG68" i="15" s="1"/>
  <c r="AF63" i="15" a="1"/>
  <c r="AF63" i="15" s="1"/>
  <c r="AG61" i="15" a="1"/>
  <c r="AG61" i="15" s="1"/>
  <c r="AF68" i="15" a="1"/>
  <c r="AF68" i="15" s="1"/>
  <c r="AG69" i="15" a="1"/>
  <c r="AG69" i="15" s="1"/>
  <c r="AE68" i="15" a="1"/>
  <c r="AE68" i="15" s="1"/>
  <c r="AF67" i="15" a="1"/>
  <c r="AF67" i="15" s="1"/>
  <c r="AD62" i="15" a="1"/>
  <c r="AD62" i="15" s="1"/>
  <c r="AF72" i="15" a="1"/>
  <c r="AF72" i="15" s="1"/>
  <c r="AD66" i="15" a="1"/>
  <c r="AD66" i="15" s="1"/>
  <c r="AE63" i="15" a="1"/>
  <c r="AE63" i="15" s="1"/>
  <c r="AE70" i="15" a="1"/>
  <c r="AE70" i="15" s="1"/>
  <c r="AG63" i="15" a="1"/>
  <c r="AG63" i="15" s="1"/>
  <c r="AE69" i="15" a="1"/>
  <c r="AE69" i="15" s="1"/>
  <c r="AE64" i="15" a="1"/>
  <c r="AE64" i="15" s="1"/>
  <c r="AE61" i="15" a="1"/>
  <c r="AE61" i="15" s="1"/>
  <c r="AF69" i="15" a="1"/>
  <c r="AF69" i="15" s="1"/>
  <c r="AF65" i="15" a="1"/>
  <c r="AF65" i="15" s="1"/>
  <c r="AF66" i="15" a="1"/>
  <c r="AF66" i="15" s="1"/>
  <c r="AG70" i="15" a="1"/>
  <c r="AG70" i="15" s="1"/>
  <c r="AG65" i="15" a="1"/>
  <c r="AG65" i="15" s="1"/>
  <c r="AD61" i="15" a="1"/>
  <c r="AD61" i="15" s="1"/>
  <c r="AD67" i="15" a="1"/>
  <c r="AD67" i="15" s="1"/>
  <c r="AG67" i="15" a="1"/>
  <c r="AG67" i="15" s="1"/>
  <c r="AD72" i="15" a="1"/>
  <c r="AD72" i="15" s="1"/>
  <c r="AE72" i="15" a="1"/>
  <c r="AE72" i="15" s="1"/>
  <c r="AD64" i="15" a="1"/>
  <c r="AD64" i="15" s="1"/>
  <c r="AE66" i="15" a="1"/>
  <c r="AE66" i="15" s="1"/>
  <c r="AE71" i="15" a="1"/>
  <c r="AE71" i="15" s="1"/>
  <c r="AF70" i="15" a="1"/>
  <c r="AF70" i="15" s="1"/>
  <c r="AD68" i="15" a="1"/>
  <c r="AD68" i="15" s="1"/>
  <c r="AD69" i="15" a="1"/>
  <c r="AD69" i="15" s="1"/>
  <c r="AE67" i="15" a="1"/>
  <c r="AE67" i="15" s="1"/>
  <c r="AG72" i="15" a="1"/>
  <c r="AG72" i="15" s="1"/>
  <c r="AD71" i="15" a="1"/>
  <c r="AD71" i="15" s="1"/>
  <c r="AE62" i="15" a="1"/>
  <c r="AE62" i="15" s="1"/>
  <c r="AG62" i="15" a="1"/>
  <c r="AG62" i="15" s="1"/>
  <c r="AG71" i="15" a="1"/>
  <c r="AG71" i="15" s="1"/>
  <c r="AF64" i="15" a="1"/>
  <c r="AF64" i="15" s="1"/>
  <c r="AD65" i="15" a="1"/>
  <c r="AD65" i="15" s="1"/>
  <c r="AD70" i="15" a="1"/>
  <c r="AD70" i="15" s="1"/>
  <c r="AE65" i="15" a="1"/>
  <c r="AE65" i="15" s="1"/>
  <c r="AF71" i="15" a="1"/>
  <c r="AF71" i="15" s="1"/>
  <c r="AF49" i="15" a="1"/>
  <c r="AF49" i="15" s="1"/>
  <c r="AG49" i="15" a="1"/>
  <c r="AG49" i="15" s="1"/>
  <c r="AF50" i="15" a="1"/>
  <c r="AF50" i="15" s="1"/>
  <c r="AG50" i="15" a="1"/>
  <c r="AG50" i="15" s="1"/>
  <c r="AF52" i="15" a="1"/>
  <c r="AF52" i="15" s="1"/>
  <c r="AF53" i="15" a="1"/>
  <c r="AF53" i="15" s="1"/>
  <c r="AF60" i="15" a="1"/>
  <c r="AF60" i="15" s="1"/>
  <c r="AG53" i="15" a="1"/>
  <c r="AG53" i="15" s="1"/>
  <c r="AG58" i="15" a="1"/>
  <c r="AG58" i="15" s="1"/>
  <c r="AD55" i="15" a="1"/>
  <c r="AD55" i="15" s="1"/>
  <c r="AG54" i="15" a="1"/>
  <c r="AG54" i="15" s="1"/>
  <c r="AG52" i="15" a="1"/>
  <c r="AG52" i="15" s="1"/>
  <c r="AG56" i="15" a="1"/>
  <c r="AG56" i="15" s="1"/>
  <c r="AF55" i="15" a="1"/>
  <c r="AF55" i="15" s="1"/>
  <c r="AD58" i="15" a="1"/>
  <c r="AD58" i="15" s="1"/>
  <c r="AG55" i="15" a="1"/>
  <c r="AG55" i="15" s="1"/>
  <c r="AG60" i="15" a="1"/>
  <c r="AG60" i="15" s="1"/>
  <c r="AG51" i="15" a="1"/>
  <c r="AG51" i="15" s="1"/>
  <c r="AD57" i="15" a="1"/>
  <c r="AD57" i="15" s="1"/>
  <c r="AF59" i="15" a="1"/>
  <c r="AF59" i="15" s="1"/>
  <c r="AF58" i="15" a="1"/>
  <c r="AF58" i="15" s="1"/>
  <c r="AF57" i="15" a="1"/>
  <c r="AF57" i="15" s="1"/>
  <c r="AF54" i="15" a="1"/>
  <c r="AF54" i="15" s="1"/>
  <c r="AF56" i="15" a="1"/>
  <c r="AF56" i="15" s="1"/>
  <c r="AE56" i="15" a="1"/>
  <c r="AE56" i="15" s="1"/>
  <c r="AE54" i="15" a="1"/>
  <c r="AE54" i="15" s="1"/>
  <c r="AE50" i="15" a="1"/>
  <c r="AE50" i="15" s="1"/>
  <c r="AF51" i="15" a="1"/>
  <c r="AF51" i="15" s="1"/>
  <c r="AD54" i="15" a="1"/>
  <c r="AD54" i="15" s="1"/>
  <c r="AD53" i="15" a="1"/>
  <c r="AD53" i="15" s="1"/>
  <c r="AE53" i="15" a="1"/>
  <c r="AE53" i="15" s="1"/>
  <c r="AE59" i="15" a="1"/>
  <c r="AE59" i="15" s="1"/>
  <c r="AE52" i="15" a="1"/>
  <c r="AE52" i="15" s="1"/>
  <c r="AD60" i="15" a="1"/>
  <c r="AD60" i="15" s="1"/>
  <c r="AE60" i="15" a="1"/>
  <c r="AE60" i="15" s="1"/>
  <c r="AD51" i="15" a="1"/>
  <c r="AD51" i="15" s="1"/>
  <c r="AE55" i="15" a="1"/>
  <c r="AE55" i="15" s="1"/>
  <c r="AE58" i="15" a="1"/>
  <c r="AE58" i="15" s="1"/>
  <c r="AE49" i="15" a="1"/>
  <c r="AE49" i="15" s="1"/>
  <c r="AE57" i="15" a="1"/>
  <c r="AE57" i="15" s="1"/>
  <c r="AE51" i="15" a="1"/>
  <c r="AE51" i="15" s="1"/>
  <c r="AD56" i="15" a="1"/>
  <c r="AD56" i="15" s="1"/>
  <c r="AD52" i="15" a="1"/>
  <c r="AD52" i="15" s="1"/>
  <c r="AD50" i="15" a="1"/>
  <c r="AD50" i="15" s="1"/>
  <c r="AD59" i="15" a="1"/>
  <c r="AD59" i="15" s="1"/>
  <c r="AD49" i="15" a="1"/>
  <c r="AD49" i="15" s="1"/>
  <c r="AG42" i="15" a="1"/>
  <c r="AG42" i="15" s="1"/>
  <c r="AG37" i="15" a="1"/>
  <c r="AG37" i="15" s="1"/>
  <c r="AD48" i="15" a="1"/>
  <c r="AD48" i="15" s="1"/>
  <c r="AF37" i="15" a="1"/>
  <c r="AF37" i="15" s="1"/>
  <c r="AF41" i="15" a="1"/>
  <c r="AF41" i="15" s="1"/>
  <c r="AD44" i="15" a="1"/>
  <c r="AD44" i="15" s="1"/>
  <c r="AF40" i="15" a="1"/>
  <c r="AF40" i="15" s="1"/>
  <c r="AF47" i="15" a="1"/>
  <c r="AF47" i="15" s="1"/>
  <c r="AG38" i="15" a="1"/>
  <c r="AG38" i="15" s="1"/>
  <c r="AF38" i="15" a="1"/>
  <c r="AF38" i="15" s="1"/>
  <c r="AF48" i="15" a="1"/>
  <c r="AF48" i="15" s="1"/>
  <c r="AF42" i="15" a="1"/>
  <c r="AF42" i="15" s="1"/>
  <c r="AG43" i="15" a="1"/>
  <c r="AG43" i="15" s="1"/>
  <c r="AG48" i="15" a="1"/>
  <c r="AG48" i="15" s="1"/>
  <c r="AF45" i="15" a="1"/>
  <c r="AF45" i="15" s="1"/>
  <c r="AE38" i="15" a="1"/>
  <c r="AE38" i="15" s="1"/>
  <c r="AG40" i="15" a="1"/>
  <c r="AG40" i="15" s="1"/>
  <c r="AG44" i="15" a="1"/>
  <c r="AG44" i="15" s="1"/>
  <c r="AG39" i="15" a="1"/>
  <c r="AG39" i="15" s="1"/>
  <c r="AG45" i="15" a="1"/>
  <c r="AG45" i="15" s="1"/>
  <c r="AF39" i="15" a="1"/>
  <c r="AF39" i="15" s="1"/>
  <c r="AG41" i="15" a="1"/>
  <c r="AG41" i="15" s="1"/>
  <c r="AG47" i="15" a="1"/>
  <c r="AG47" i="15" s="1"/>
  <c r="AF43" i="15" a="1"/>
  <c r="AF43" i="15" s="1"/>
  <c r="AF46" i="15" a="1"/>
  <c r="AF46" i="15" s="1"/>
  <c r="AF44" i="15" a="1"/>
  <c r="AF44" i="15" s="1"/>
  <c r="AG46" i="15" a="1"/>
  <c r="AG46" i="15" s="1"/>
  <c r="AE43" i="15" a="1"/>
  <c r="AE43" i="15" s="1"/>
  <c r="AE48" i="15" a="1"/>
  <c r="AE48" i="15" s="1"/>
  <c r="AE47" i="15" a="1"/>
  <c r="AE47" i="15" s="1"/>
  <c r="AE45" i="15" a="1"/>
  <c r="AE45" i="15" s="1"/>
  <c r="AE46" i="15" a="1"/>
  <c r="AE46" i="15" s="1"/>
  <c r="AE44" i="15" a="1"/>
  <c r="AE44" i="15" s="1"/>
  <c r="AE41" i="15" a="1"/>
  <c r="AE41" i="15" s="1"/>
  <c r="AE39" i="15" a="1"/>
  <c r="AE39" i="15" s="1"/>
  <c r="AE42" i="15" a="1"/>
  <c r="AE42" i="15" s="1"/>
  <c r="AE40" i="15" a="1"/>
  <c r="AE40" i="15" s="1"/>
  <c r="AD46" i="15" a="1"/>
  <c r="AD46" i="15" s="1"/>
  <c r="AD47" i="15" a="1"/>
  <c r="AD47" i="15" s="1"/>
  <c r="AE37" i="15" a="1"/>
  <c r="AE37" i="15" s="1"/>
  <c r="AD45" i="15" a="1"/>
  <c r="AD45" i="15" s="1"/>
  <c r="R41" i="15"/>
  <c r="AD41" i="15" s="1" a="1"/>
  <c r="AD41" i="15" s="1"/>
  <c r="R43" i="15"/>
  <c r="AD43" i="15" s="1" a="1"/>
  <c r="AD43" i="15" s="1"/>
  <c r="R38" i="15"/>
  <c r="AD38" i="15" s="1" a="1"/>
  <c r="AD38" i="15" s="1"/>
  <c r="R37" i="15"/>
  <c r="AD37" i="15" s="1" a="1"/>
  <c r="AD37" i="15" s="1"/>
  <c r="R40" i="15"/>
  <c r="AD40" i="15" s="1" a="1"/>
  <c r="AD40" i="15" s="1"/>
  <c r="R39" i="15"/>
  <c r="AD39" i="15" s="1" a="1"/>
  <c r="AD39" i="15" s="1"/>
  <c r="R42" i="15"/>
  <c r="AD42" i="15" s="1" a="1"/>
  <c r="AD42" i="15" s="1"/>
  <c r="I3" i="6" a="1"/>
  <c r="I3" i="6" s="1"/>
  <c r="L3" i="6" a="1"/>
  <c r="L3" i="6" s="1"/>
  <c r="E3" i="6" a="1"/>
  <c r="E3" i="6" s="1"/>
  <c r="Q3" i="6" a="1"/>
  <c r="Q3" i="6" s="1"/>
  <c r="G3" i="6" a="1"/>
  <c r="G3" i="6" s="1"/>
  <c r="P3" i="6" a="1"/>
  <c r="P3" i="6" s="1"/>
  <c r="O3" i="6" a="1"/>
  <c r="O3" i="6" s="1"/>
  <c r="N3" i="6" a="1"/>
  <c r="N3" i="6" s="1"/>
  <c r="M3" i="6" a="1"/>
  <c r="M3" i="6" s="1"/>
  <c r="H3" i="6" a="1"/>
  <c r="H3" i="6" s="1"/>
  <c r="K3" i="6" a="1"/>
  <c r="K3" i="6" s="1"/>
  <c r="F3" i="6" a="1"/>
  <c r="F3" i="6" s="1"/>
  <c r="J3" i="6" a="1"/>
  <c r="J3" i="6" s="1"/>
  <c r="Y22" i="15"/>
  <c r="Y21" i="15"/>
  <c r="Y19" i="15"/>
  <c r="Y18" i="15"/>
  <c r="Y10" i="15"/>
  <c r="F19" i="13"/>
  <c r="D19" i="13"/>
  <c r="B19" i="13"/>
  <c r="U3" i="15"/>
  <c r="U4" i="15"/>
  <c r="U5" i="15"/>
  <c r="U6" i="15"/>
  <c r="U7" i="15"/>
  <c r="U8" i="15"/>
  <c r="U17" i="15"/>
  <c r="Y20" i="15" l="1"/>
  <c r="U10" i="15"/>
  <c r="U19" i="15"/>
  <c r="U18" i="15"/>
  <c r="U21" i="15"/>
  <c r="U22" i="15"/>
  <c r="U20" i="15" l="1"/>
  <c r="AC22" i="15" l="1"/>
  <c r="AC21" i="15"/>
  <c r="AB22" i="15"/>
  <c r="AB21" i="15"/>
  <c r="AA22" i="15"/>
  <c r="AA21" i="15"/>
  <c r="Z22" i="15"/>
  <c r="Z21" i="15"/>
  <c r="X22" i="15"/>
  <c r="X21" i="15"/>
  <c r="W22" i="15"/>
  <c r="W21" i="15"/>
  <c r="V22" i="15"/>
  <c r="V21" i="15"/>
  <c r="T22" i="15"/>
  <c r="T21" i="15"/>
  <c r="S22" i="15"/>
  <c r="S21" i="15"/>
  <c r="R22" i="15"/>
  <c r="R21" i="15"/>
  <c r="AC19" i="15"/>
  <c r="AB19" i="15"/>
  <c r="AA19" i="15"/>
  <c r="Z19" i="15"/>
  <c r="X19" i="15"/>
  <c r="W19" i="15"/>
  <c r="V19" i="15"/>
  <c r="T19" i="15"/>
  <c r="S19" i="15"/>
  <c r="R19" i="15"/>
  <c r="AC18" i="15"/>
  <c r="AB18" i="15"/>
  <c r="AA18" i="15"/>
  <c r="Z18" i="15"/>
  <c r="X18" i="15"/>
  <c r="W18" i="15"/>
  <c r="V18" i="15"/>
  <c r="T18" i="15"/>
  <c r="S18" i="15"/>
  <c r="R18" i="15"/>
  <c r="AG21" i="15" l="1" a="1"/>
  <c r="AG21" i="15" s="1"/>
  <c r="AE18" i="15" a="1"/>
  <c r="AE18" i="15" s="1"/>
  <c r="AF18" i="15" a="1"/>
  <c r="AF18" i="15" s="1"/>
  <c r="AG18" i="15" a="1"/>
  <c r="AG18" i="15" s="1"/>
  <c r="AF19" i="15" a="1"/>
  <c r="AF19" i="15" s="1"/>
  <c r="AG22" i="15" a="1"/>
  <c r="AG22" i="15" s="1"/>
  <c r="AD19" i="15" a="1"/>
  <c r="AD19" i="15" s="1"/>
  <c r="AE19" i="15" a="1"/>
  <c r="AE19" i="15" s="1"/>
  <c r="AE22" i="15" a="1"/>
  <c r="AE22" i="15" s="1"/>
  <c r="AG19" i="15" a="1"/>
  <c r="AG19" i="15" s="1"/>
  <c r="AD22" i="15" a="1"/>
  <c r="AD22" i="15" s="1"/>
  <c r="AD18" i="15" a="1"/>
  <c r="AD18" i="15" s="1"/>
  <c r="AF21" i="15" a="1"/>
  <c r="AF21" i="15" s="1"/>
  <c r="AF22" i="15" a="1"/>
  <c r="AF22" i="15" s="1"/>
  <c r="AD21" i="15" a="1"/>
  <c r="AD21" i="15" s="1"/>
  <c r="AE21" i="15" a="1"/>
  <c r="AE21" i="15" s="1"/>
  <c r="S26" i="15"/>
  <c r="R20" i="15"/>
  <c r="AC20" i="15"/>
  <c r="Z20" i="15"/>
  <c r="S20" i="15"/>
  <c r="AA20" i="15"/>
  <c r="T20" i="15"/>
  <c r="W20" i="15"/>
  <c r="X20" i="15"/>
  <c r="S28" i="15"/>
  <c r="S29" i="15"/>
  <c r="AB20" i="15"/>
  <c r="V20" i="15"/>
  <c r="AE20" i="15" l="1" a="1"/>
  <c r="AE20" i="15" s="1"/>
  <c r="AD20" i="15" a="1"/>
  <c r="AD20" i="15" s="1"/>
  <c r="AF20" i="15" a="1"/>
  <c r="AF20" i="15" s="1"/>
  <c r="AG20" i="15" a="1"/>
  <c r="AG20" i="15" s="1"/>
  <c r="R28" i="15"/>
  <c r="R29" i="15"/>
  <c r="R26" i="15"/>
  <c r="S27" i="15"/>
  <c r="R27" i="15" l="1"/>
  <c r="B10" i="13"/>
  <c r="B11" i="13" s="1"/>
  <c r="F10" i="13" l="1"/>
  <c r="F11" i="13" s="1"/>
  <c r="D10" i="13"/>
  <c r="D11" i="13" s="1"/>
  <c r="B1" i="15"/>
  <c r="C17" i="5" l="1"/>
  <c r="F17" i="5" a="1"/>
  <c r="F17" i="5" s="1"/>
  <c r="P17" i="5" a="1"/>
  <c r="P17" i="5" s="1"/>
  <c r="O17" i="5" a="1"/>
  <c r="O17" i="5" s="1"/>
  <c r="N17" i="5" a="1"/>
  <c r="N17" i="5" s="1"/>
  <c r="F7" i="13"/>
  <c r="F8" i="13" s="1"/>
  <c r="D7" i="13"/>
  <c r="D8" i="13" s="1"/>
  <c r="B7" i="13"/>
  <c r="B8" i="13" s="1"/>
  <c r="R3" i="15"/>
  <c r="S3" i="15"/>
  <c r="T3" i="15"/>
  <c r="V3" i="15"/>
  <c r="W3" i="15"/>
  <c r="X3" i="15"/>
  <c r="Z3" i="15"/>
  <c r="AA3" i="15"/>
  <c r="AB3" i="15"/>
  <c r="AC3" i="15"/>
  <c r="R4" i="15"/>
  <c r="S4" i="15"/>
  <c r="T4" i="15"/>
  <c r="V4" i="15"/>
  <c r="W4" i="15"/>
  <c r="X4" i="15"/>
  <c r="Z4" i="15"/>
  <c r="AA4" i="15"/>
  <c r="AB4" i="15"/>
  <c r="AC4" i="15"/>
  <c r="R5" i="15"/>
  <c r="S5" i="15"/>
  <c r="T5" i="15"/>
  <c r="V5" i="15"/>
  <c r="W5" i="15"/>
  <c r="X5" i="15"/>
  <c r="Z5" i="15"/>
  <c r="AA5" i="15"/>
  <c r="AB5" i="15"/>
  <c r="AC5" i="15"/>
  <c r="R6" i="15"/>
  <c r="S6" i="15"/>
  <c r="T6" i="15"/>
  <c r="V6" i="15"/>
  <c r="W6" i="15"/>
  <c r="X6" i="15"/>
  <c r="Z6" i="15"/>
  <c r="AA6" i="15"/>
  <c r="AB6" i="15"/>
  <c r="AC6" i="15"/>
  <c r="R7" i="15"/>
  <c r="S7" i="15"/>
  <c r="T7" i="15"/>
  <c r="V7" i="15"/>
  <c r="W7" i="15"/>
  <c r="X7" i="15"/>
  <c r="Z7" i="15"/>
  <c r="AA7" i="15"/>
  <c r="AB7" i="15"/>
  <c r="AC7" i="15"/>
  <c r="R8" i="15"/>
  <c r="S8" i="15"/>
  <c r="T8" i="15"/>
  <c r="V8" i="15"/>
  <c r="W8" i="15"/>
  <c r="X8" i="15"/>
  <c r="Z8" i="15"/>
  <c r="AA8" i="15"/>
  <c r="AB8" i="15"/>
  <c r="AC8" i="15"/>
  <c r="R9" i="15"/>
  <c r="S9" i="15"/>
  <c r="T9" i="15"/>
  <c r="V9" i="15"/>
  <c r="W9" i="15"/>
  <c r="X9" i="15"/>
  <c r="Z9" i="15"/>
  <c r="AA9" i="15"/>
  <c r="AB9" i="15"/>
  <c r="AC9" i="15"/>
  <c r="AG5" i="15" l="1" a="1"/>
  <c r="AG5" i="15" s="1"/>
  <c r="AD3" i="15" a="1"/>
  <c r="AD3" i="15" s="1"/>
  <c r="AF8" i="15" a="1"/>
  <c r="AF8" i="15" s="1"/>
  <c r="AF6" i="15" a="1"/>
  <c r="AF6" i="15" s="1"/>
  <c r="AG3" i="15" a="1"/>
  <c r="AG3" i="15" s="1"/>
  <c r="AF9" i="15" a="1"/>
  <c r="AF9" i="15" s="1"/>
  <c r="AG6" i="15" a="1"/>
  <c r="AG6" i="15" s="1"/>
  <c r="AD8" i="15" a="1"/>
  <c r="AD8" i="15" s="1"/>
  <c r="AE9" i="15" a="1"/>
  <c r="AE9" i="15" s="1"/>
  <c r="AG8" i="15" a="1"/>
  <c r="AG8" i="15" s="1"/>
  <c r="AD6" i="15" a="1"/>
  <c r="AD6" i="15" s="1"/>
  <c r="AF4" i="15" a="1"/>
  <c r="AF4" i="15" s="1"/>
  <c r="AE4" i="15" a="1"/>
  <c r="AE4" i="15" s="1"/>
  <c r="AE8" i="15" a="1"/>
  <c r="AE8" i="15" s="1"/>
  <c r="AG9" i="15" a="1"/>
  <c r="AG9" i="15" s="1"/>
  <c r="AF5" i="15" a="1"/>
  <c r="AF5" i="15" s="1"/>
  <c r="AD4" i="15" a="1"/>
  <c r="AD4" i="15" s="1"/>
  <c r="AD7" i="15" a="1"/>
  <c r="AD7" i="15" s="1"/>
  <c r="AE5" i="15" a="1"/>
  <c r="AE5" i="15" s="1"/>
  <c r="AG7" i="15" a="1"/>
  <c r="AG7" i="15" s="1"/>
  <c r="AD5" i="15" a="1"/>
  <c r="AD5" i="15" s="1"/>
  <c r="AF3" i="15" a="1"/>
  <c r="AF3" i="15" s="1"/>
  <c r="AE6" i="15" a="1"/>
  <c r="AE6" i="15" s="1"/>
  <c r="AD9" i="15" a="1"/>
  <c r="AD9" i="15" s="1"/>
  <c r="AF7" i="15" a="1"/>
  <c r="AF7" i="15" s="1"/>
  <c r="AG4" i="15" a="1"/>
  <c r="AG4" i="15" s="1"/>
  <c r="AE7" i="15" a="1"/>
  <c r="AE7" i="15" s="1"/>
  <c r="AE3" i="15" a="1"/>
  <c r="AE3" i="15" s="1"/>
  <c r="T10" i="15"/>
  <c r="S10" i="15"/>
  <c r="W10" i="15"/>
  <c r="X10" i="15"/>
  <c r="Z10" i="15"/>
  <c r="V10" i="15"/>
  <c r="AB10" i="15"/>
  <c r="AA10" i="15"/>
  <c r="AC10" i="15"/>
  <c r="R10" i="15"/>
  <c r="AE10" i="15" l="1" a="1"/>
  <c r="AE10" i="15" s="1"/>
  <c r="AG10" i="15" a="1"/>
  <c r="AG10" i="15" s="1"/>
  <c r="AD10" i="15" a="1"/>
  <c r="AD10" i="15" s="1"/>
  <c r="AF10" i="15" a="1"/>
  <c r="AF10" i="15" s="1"/>
  <c r="AF11" i="15"/>
  <c r="AE13" i="15"/>
  <c r="AE12" i="15"/>
  <c r="AE11" i="15"/>
  <c r="AF12" i="15"/>
  <c r="AG12" i="15"/>
  <c r="AG11" i="15"/>
  <c r="AD13" i="15"/>
  <c r="AD12" i="15"/>
  <c r="AG13" i="15"/>
  <c r="AF13" i="15"/>
  <c r="AH5" i="15"/>
  <c r="AH6" i="15"/>
  <c r="AH9" i="15"/>
  <c r="AH7" i="15"/>
  <c r="AH8" i="15"/>
  <c r="AH4" i="15"/>
  <c r="F12" i="13"/>
  <c r="A23" i="7"/>
  <c r="A22" i="7" s="1"/>
  <c r="D12" i="13" l="1"/>
  <c r="B12" i="13"/>
  <c r="AH3" i="15"/>
  <c r="AH10" i="15" s="1"/>
  <c r="AD11"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Marc Khayat (makhayat)</author>
  </authors>
  <commentList>
    <comment ref="E2" authorId="0" shapeId="0" xr:uid="{27A76E29-01D1-41FC-8870-7133D3346CCC}">
      <text>
        <r>
          <rPr>
            <sz val="9"/>
            <color indexed="81"/>
            <rFont val="Tahoma"/>
            <family val="2"/>
          </rPr>
          <t xml:space="preserve">Number of customers with use-cases eligible for opting-in. This number excludes use-cases that are fully completed or expired, or with a use-case already opted-in within that offer.
</t>
        </r>
      </text>
    </comment>
    <comment ref="F2" authorId="0" shapeId="0" xr:uid="{635568AC-876D-4514-8BAF-E76207F9B7FD}">
      <text>
        <r>
          <rPr>
            <sz val="9"/>
            <color indexed="81"/>
            <rFont val="Tahoma"/>
            <family val="2"/>
          </rPr>
          <t>The amount of potential incentives associated with these use-cases. Highest incentive per use-case per customer is used in the calculations.</t>
        </r>
      </text>
    </comment>
    <comment ref="G2" authorId="0" shapeId="0" xr:uid="{5AB982CA-4688-4125-B7C1-F729A804C3C8}">
      <text>
        <r>
          <rPr>
            <sz val="9"/>
            <color indexed="81"/>
            <rFont val="Tahoma"/>
            <family val="2"/>
          </rPr>
          <t>Number of customers who have use-cases with Onboard or Onboard/Use stage completed, i.e. 1 or 2 out of the 4 earning stages, and not opted-in. These "should" be easier targets because their deployments have already started (CatC, Meraki Dashboard, Nexus Dashboard, etc.).</t>
        </r>
      </text>
    </comment>
    <comment ref="H2" authorId="0" shapeId="0" xr:uid="{EF057717-6B59-4B2B-8473-543EAFF1DD1F}">
      <text>
        <r>
          <rPr>
            <sz val="9"/>
            <color indexed="81"/>
            <rFont val="Tahoma"/>
            <family val="2"/>
          </rPr>
          <t>The amount of remaining incentives associated with these use-cases. No incentives paid for previously completed stages. Highest incentive per use-case per customer is used in the calculations.</t>
        </r>
      </text>
    </comment>
    <comment ref="I2" authorId="0" shapeId="0" xr:uid="{4F5A880C-5DEF-4571-BDB9-D7AECAC07FCC}">
      <text>
        <r>
          <rPr>
            <sz val="9"/>
            <color indexed="81"/>
            <rFont val="Tahoma"/>
            <family val="2"/>
          </rPr>
          <t>Number of customers who have use-cases with Onboard/Use/Engage completed, i.e. 3 out of the 4 earning stages, and not opted-in. Incentives available for the last stage, Adopt, can still be pursued.</t>
        </r>
      </text>
    </comment>
    <comment ref="J2" authorId="0" shapeId="0" xr:uid="{40BED188-50F2-440A-88C2-14638FD031F3}">
      <text>
        <r>
          <rPr>
            <sz val="9"/>
            <color indexed="81"/>
            <rFont val="Tahoma"/>
            <family val="2"/>
          </rPr>
          <t xml:space="preserve">The amount of missed incentives associated with these use-cases. This includes the incentives for Onboard/Use/Engage when completed after booking date. Highest incentive per use-case per customer is used in the calculations. </t>
        </r>
      </text>
    </comment>
    <comment ref="K2" authorId="0" shapeId="0" xr:uid="{52095CF0-30A5-44DE-908D-B1FB4CF6BA91}">
      <text>
        <r>
          <rPr>
            <sz val="9"/>
            <color indexed="81"/>
            <rFont val="Tahoma"/>
            <family val="2"/>
          </rPr>
          <t>The amount of remaining incentived associated with these use-cases, which would be related to the Adopt stage only. Highest incentive per use-case per customer is used in the calculations.</t>
        </r>
      </text>
    </comment>
    <comment ref="L2" authorId="0" shapeId="0" xr:uid="{172C8F85-AE2B-4217-8418-24C526C45D28}">
      <text>
        <r>
          <rPr>
            <sz val="9"/>
            <color indexed="81"/>
            <rFont val="Tahoma"/>
            <family val="2"/>
          </rPr>
          <t>Number of customers where use-cases progressed (either completed or partially completed/expired), and no opt-in was made for that track. Only count customers with non-zero missed incentives, i.e. stage completion dates after booking date. No available incentives to pursue.</t>
        </r>
      </text>
    </comment>
    <comment ref="M2" authorId="0" shapeId="0" xr:uid="{CB044984-362E-4B6E-BCD1-EB6B2E545DF5}">
      <text>
        <r>
          <rPr>
            <sz val="9"/>
            <color indexed="81"/>
            <rFont val="Tahoma"/>
            <family val="2"/>
          </rPr>
          <t xml:space="preserve">The amount of missed incentives associated with these use-cases. This includes incentives for all stages completed after booking date. Highest incentive per use-case per customer is used in the calculations. </t>
        </r>
      </text>
    </comment>
    <comment ref="N2" authorId="0" shapeId="0" xr:uid="{184A4D0B-352B-40B8-9876-578D60A16C49}">
      <text>
        <r>
          <rPr>
            <sz val="9"/>
            <color indexed="81"/>
            <rFont val="Tahoma"/>
            <family val="2"/>
          </rPr>
          <t>Number of active use-cases where partner has opted-in. Excludes "expired" and "not eligible" use-cases.</t>
        </r>
      </text>
    </comment>
    <comment ref="O2" authorId="0" shapeId="0" xr:uid="{1997057F-E4DD-4AC0-A04B-78CC90CE8723}">
      <text>
        <r>
          <rPr>
            <sz val="9"/>
            <color indexed="81"/>
            <rFont val="Tahoma"/>
            <family val="2"/>
          </rPr>
          <t>Amount of remaining incentives for these use-cases, i.e. for all earning stages that haven't been completed yet.</t>
        </r>
      </text>
    </comment>
    <comment ref="P2" authorId="0" shapeId="0" xr:uid="{5F2F4103-5348-4F9D-9599-4CB451E75592}">
      <text>
        <r>
          <rPr>
            <sz val="9"/>
            <color indexed="81"/>
            <rFont val="Tahoma"/>
            <family val="2"/>
          </rPr>
          <t>Number of opted-in use-cases that have progressed by at least one earning stage.</t>
        </r>
      </text>
    </comment>
    <comment ref="Q2" authorId="0" shapeId="0" xr:uid="{F44DFD6A-8725-4B45-B6A0-11BED473067A}">
      <text>
        <r>
          <rPr>
            <sz val="9"/>
            <color indexed="81"/>
            <rFont val="Tahoma"/>
            <family val="2"/>
          </rPr>
          <t>The amount of incentives earned through these use-cases. Only consider stages where completion date is after opt-in date. Note that payment of the incentive goes through further checks by the CPI team against program rules.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Marc Khayat (makhayat)</author>
  </authors>
  <commentList>
    <comment ref="A7" authorId="0" shapeId="0" xr:uid="{ACEDDD5B-B49F-41BF-AD20-94169D9683A7}">
      <text>
        <r>
          <rPr>
            <sz val="9"/>
            <color indexed="81"/>
            <rFont val="Tahoma"/>
            <family val="2"/>
          </rPr>
          <t>Purchase/Onboard: red
Implement/Use: orange
Engage/Adopt/Completed: green</t>
        </r>
      </text>
    </comment>
    <comment ref="A8" authorId="0" shapeId="0" xr:uid="{66242533-308F-4F57-A846-4B1E455C73A3}">
      <text>
        <r>
          <rPr>
            <sz val="9"/>
            <color indexed="81"/>
            <rFont val="Tahoma"/>
            <family val="2"/>
          </rPr>
          <t>Shows the ratio of tasks that have been completed in the current stage.</t>
        </r>
      </text>
    </comment>
    <comment ref="A9" authorId="0" shapeId="0" xr:uid="{9956D72A-1EC6-42B7-B6DD-A3959A325355}">
      <text>
        <r>
          <rPr>
            <sz val="9"/>
            <color indexed="81"/>
            <rFont val="Tahoma"/>
            <family val="2"/>
          </rPr>
          <t>Lists the pending activities for the current stage.</t>
        </r>
      </text>
    </comment>
    <comment ref="A10" authorId="0" shapeId="0" xr:uid="{E6AE066A-6845-44C4-BC0A-1EA0111504BF}">
      <text>
        <r>
          <rPr>
            <sz val="9"/>
            <color indexed="81"/>
            <rFont val="Tahoma"/>
            <family val="2"/>
          </rPr>
          <t>Shows number of days in the curent stage:
Greater than 180 days: red
Between 180 and 90 days: orange
Less than 90 days: green</t>
        </r>
      </text>
    </comment>
    <comment ref="A11" authorId="0" shapeId="0" xr:uid="{EEB2B2D0-E06A-46E5-982C-B69C24D492DE}">
      <text>
        <r>
          <rPr>
            <sz val="9"/>
            <color indexed="81"/>
            <rFont val="Tahoma"/>
            <family val="2"/>
          </rPr>
          <t>Amount of incentives still available to be picked up with this opportunity.</t>
        </r>
      </text>
    </comment>
    <comment ref="A12" authorId="0" shapeId="0" xr:uid="{5372D3B4-60DF-46ED-9AA7-B75590D67CBB}">
      <text>
        <r>
          <rPr>
            <sz val="9"/>
            <color indexed="81"/>
            <rFont val="Tahoma"/>
            <family val="2"/>
          </rPr>
          <t>Estimated earned incentives associated with this opportunity.</t>
        </r>
      </text>
    </comment>
    <comment ref="A13" authorId="0" shapeId="0" xr:uid="{AE9BBF7F-F482-4F46-8E3D-AA41789A8C27}">
      <text>
        <r>
          <rPr>
            <sz val="9"/>
            <color indexed="81"/>
            <rFont val="Tahoma"/>
            <family val="2"/>
          </rPr>
          <t>Deal booking date.</t>
        </r>
      </text>
    </comment>
    <comment ref="A14" authorId="0" shapeId="0" xr:uid="{3DD8D045-11B2-4E3B-AEBC-E53B5FBAB4BA}">
      <text>
        <r>
          <rPr>
            <sz val="9"/>
            <color indexed="81"/>
            <rFont val="Tahoma"/>
            <family val="2"/>
          </rPr>
          <t>When the deal was opted-in in Funds Manager.</t>
        </r>
      </text>
    </comment>
    <comment ref="A15" authorId="0" shapeId="0" xr:uid="{FB8A6F6F-0083-4B00-BDAF-CEBAE342BB05}">
      <text>
        <r>
          <rPr>
            <sz val="9"/>
            <color indexed="81"/>
            <rFont val="Tahoma"/>
            <family val="2"/>
          </rPr>
          <t>Deadline to complete stages and earn incentives for this opportunity.</t>
        </r>
      </text>
    </comment>
    <comment ref="A16" authorId="0" shapeId="0" xr:uid="{63FE98CC-6B65-49F3-A0E4-4839E7A01224}">
      <text>
        <r>
          <rPr>
            <sz val="9"/>
            <color indexed="81"/>
            <rFont val="Tahoma"/>
            <family val="2"/>
          </rPr>
          <t>Number of days remaining before deal expiry:
Greater than 180 days: green
Between 180 and 90 days: orange
Between 90 and 0 days: red
When the deal expires, the number would be negative and colored in gray.</t>
        </r>
      </text>
    </comment>
    <comment ref="A17" authorId="0" shapeId="0" xr:uid="{68A58407-1CEB-41D1-A3DB-B7840360D2D7}">
      <text>
        <r>
          <rPr>
            <sz val="9"/>
            <color indexed="81"/>
            <rFont val="Tahoma"/>
            <family val="2"/>
          </rPr>
          <t>Shows what CPI earning stages have been completed prior to opt-in.</t>
        </r>
      </text>
    </comment>
    <comment ref="A18" authorId="0" shapeId="0" xr:uid="{C1C12C6B-DF46-4629-B051-67C641C4AA10}">
      <text>
        <r>
          <rPr>
            <sz val="9"/>
            <color indexed="81"/>
            <rFont val="Tahoma"/>
            <family val="2"/>
          </rPr>
          <t>Link to the deal on Funds Manager.</t>
        </r>
      </text>
    </comment>
    <comment ref="A19" authorId="0" shapeId="0" xr:uid="{A007CC0B-80D8-45B6-95B6-5C1D209F08FF}">
      <text>
        <r>
          <rPr>
            <sz val="9"/>
            <color indexed="81"/>
            <rFont val="Tahoma"/>
            <family val="2"/>
          </rPr>
          <t>Direct link to the enablement document for this specific use-case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Marc Khayat (makhayat)</author>
  </authors>
  <commentList>
    <comment ref="A15" authorId="0" shapeId="0" xr:uid="{783D1C9A-3068-42F6-9838-6A80ADB394B4}">
      <text>
        <r>
          <rPr>
            <sz val="9"/>
            <color indexed="81"/>
            <rFont val="Tahoma"/>
            <family val="2"/>
          </rPr>
          <t>Use the up/down buttons to set the target Onboarded booking. Steps are 3% of the total Eligible UC Booking value.</t>
        </r>
      </text>
    </comment>
    <comment ref="A17" authorId="0" shapeId="0" xr:uid="{1223807C-F7F3-4D7B-97B0-EBDD31D55A5A}">
      <text>
        <r>
          <rPr>
            <sz val="9"/>
            <color indexed="81"/>
            <rFont val="Tahoma"/>
            <family val="2"/>
          </rPr>
          <t>Use the up/down buttons to set the target Adopted booking value. Steps are 2% of the total Eligible UC Booking value.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A79F833-8458-43A9-9120-2ECAD87D6FCA}" keepAlive="1" name="Query - Data" description="Connection to the 'Data' query in the workbook." type="5" refreshedVersion="8" saveData="1">
    <dbPr connection="Provider=Microsoft.Mashup.OleDb.1;Data Source=$Workbook$;Location=Data;Extended Properties=&quot;&quot;" command="SELECT * FROM [Data]"/>
  </connection>
  <connection id="2" xr16:uid="{59D9BD93-D4D8-45D9-9385-29A135EE1E60}" keepAlive="1" name="Query - Data_Base" description="Connection to the 'Data_Base' query in the workbook." type="5" refreshedVersion="0" saveData="1">
    <dbPr connection="Provider=Microsoft.Mashup.OleDb.1;Data Source=$Workbook$;Location=Data_Base;Extended Properties=&quot;&quot;" command="SELECT * FROM [Data_Base]"/>
  </connection>
  <connection id="3" xr16:uid="{B8493184-0C36-4938-9173-0FE9BCD33FB2}" keepAlive="1" name="Query - EligibleOptedInIDs" description="Connection to the 'EligibleOptedInIDs' query in the workbook." type="5" refreshedVersion="0" saveData="1">
    <dbPr connection="Provider=Microsoft.Mashup.OleDb.1;Data Source=$Workbook$;Location=EligibleOptedInIDs;Extended Properties=&quot;&quot;" command="SELECT * FROM [EligibleOptedInIDs]"/>
  </connection>
  <connection id="4" xr16:uid="{2D945693-3187-4407-B3C1-D54A1BC0F96B}" keepAlive="1" name="Query - FiscalDates" description="Connection to the 'FiscalDates' query in the workbook." type="5" refreshedVersion="0" background="1">
    <dbPr connection="Provider=Microsoft.Mashup.OleDb.1;Data Source=$Workbook$;Location=FiscalDates;Extended Properties=&quot;&quot;" command="SELECT * FROM [FiscalDates]"/>
  </connection>
  <connection id="5" xr16:uid="{189E8A78-303D-442F-9E07-F3B87D56D908}" keepAlive="1" name="Query - Hierarchy" description="Connection to the 'Hierarchy' query in the workbook." type="5" refreshedVersion="0">
    <dbPr connection="Provider=Microsoft.Mashup.OleDb.1;Data Source=$Workbook$;Location=Hierarchy;Extended Properties=&quot;&quot;" command="SELECT * FROM [Hierarchy]"/>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<sst xmlns="http://schemas.openxmlformats.org/spreadsheetml/2006/main" count="589" uniqueCount="399">
  <si>
    <r>
      <t xml:space="preserve">For help, please reach out to your </t>
    </r>
    <r>
      <rPr>
        <b/>
        <sz val="11"/>
        <color rgb="FFFF0000"/>
        <rFont val="Aptos Narrow"/>
        <family val="2"/>
        <scheme val="minor"/>
      </rPr>
      <t>PCSS</t>
    </r>
    <r>
      <rPr>
        <sz val="11"/>
        <color rgb="FFFF0000"/>
        <rFont val="Aptos Narrow"/>
        <family val="2"/>
        <scheme val="minor"/>
      </rPr>
      <t>.</t>
    </r>
  </si>
  <si>
    <t>File version:</t>
  </si>
  <si>
    <t>Release date:</t>
  </si>
  <si>
    <t>Domain</t>
  </si>
  <si>
    <t>Offer</t>
  </si>
  <si>
    <t>Use Case</t>
  </si>
  <si>
    <t>Type</t>
  </si>
  <si>
    <r>
      <t>Total UC Eligible 
w/o opt-in</t>
    </r>
    <r>
      <rPr>
        <b/>
        <sz val="8"/>
        <color rgb="FF000000"/>
        <rFont val="Aptos Narrow"/>
        <family val="2"/>
        <scheme val="minor"/>
      </rPr>
      <t xml:space="preserve">
(customer count)</t>
    </r>
  </si>
  <si>
    <r>
      <t xml:space="preserve">Total Potential Incentives
</t>
    </r>
    <r>
      <rPr>
        <b/>
        <sz val="8"/>
        <color rgb="FF000000"/>
        <rFont val="Aptos Narrow"/>
        <family val="2"/>
        <scheme val="minor"/>
      </rPr>
      <t>(max per customer)</t>
    </r>
  </si>
  <si>
    <r>
      <t xml:space="preserve">UC 25-50% eligible w/o opt-in
</t>
    </r>
    <r>
      <rPr>
        <b/>
        <sz val="8"/>
        <color rgb="FF000000"/>
        <rFont val="Aptos Narrow"/>
        <family val="2"/>
        <scheme val="minor"/>
      </rPr>
      <t>(customer count)</t>
    </r>
  </si>
  <si>
    <r>
      <t xml:space="preserve">Potential Incentives
</t>
    </r>
    <r>
      <rPr>
        <b/>
        <sz val="8"/>
        <color rgb="FF000000"/>
        <rFont val="Aptos Narrow"/>
        <family val="2"/>
        <scheme val="minor"/>
      </rPr>
      <t>(max per customer)</t>
    </r>
  </si>
  <si>
    <r>
      <t xml:space="preserve">UC 75% eligible w/o opt-in
</t>
    </r>
    <r>
      <rPr>
        <b/>
        <sz val="8"/>
        <color rgb="FF000000"/>
        <rFont val="Aptos Narrow"/>
        <family val="2"/>
        <scheme val="minor"/>
      </rPr>
      <t>(customer count)</t>
    </r>
  </si>
  <si>
    <r>
      <t xml:space="preserve">Missed Incentives
</t>
    </r>
    <r>
      <rPr>
        <b/>
        <sz val="8"/>
        <color rgb="FF000000"/>
        <rFont val="Aptos Narrow"/>
        <family val="2"/>
        <scheme val="minor"/>
      </rPr>
      <t>(max per customer)</t>
    </r>
  </si>
  <si>
    <r>
      <t xml:space="preserve">UC progressed and missed 
w/o opt-in
</t>
    </r>
    <r>
      <rPr>
        <b/>
        <sz val="8"/>
        <color rgb="FF000000"/>
        <rFont val="Aptos Narrow"/>
        <family val="2"/>
        <scheme val="minor"/>
      </rPr>
      <t>(customer count)</t>
    </r>
  </si>
  <si>
    <t>Active Opted-in UC</t>
  </si>
  <si>
    <t>Potential Incentives</t>
  </si>
  <si>
    <t>Progressed opted-in UC</t>
  </si>
  <si>
    <t>Networking</t>
  </si>
  <si>
    <t>Catalyst Center</t>
  </si>
  <si>
    <t>Campus Network Automation</t>
  </si>
  <si>
    <t>Standard</t>
  </si>
  <si>
    <t>Campus Network Observability and Insights</t>
  </si>
  <si>
    <t>Campus Network Programmability and Integrations</t>
  </si>
  <si>
    <t>Advanced</t>
  </si>
  <si>
    <t>Campus Network Segmentation</t>
  </si>
  <si>
    <t>Campus Network Visibility</t>
  </si>
  <si>
    <t>Cloud Monitoring for Catalyst</t>
  </si>
  <si>
    <t>Internet and Cloud Visibility</t>
  </si>
  <si>
    <t>Location Based Intelligence</t>
  </si>
  <si>
    <t>Meraki</t>
  </si>
  <si>
    <t>Foundational Networking and Security for Meraki</t>
  </si>
  <si>
    <t>Programmability and Integrations for Meraki</t>
  </si>
  <si>
    <t>SD WAN</t>
  </si>
  <si>
    <t>SD-Routing</t>
  </si>
  <si>
    <t>Secure Automated WAN</t>
  </si>
  <si>
    <t>Security</t>
  </si>
  <si>
    <t>Duo</t>
  </si>
  <si>
    <t>Secure Application Access With Phishing-Resistant MFA</t>
  </si>
  <si>
    <t>Cisco Umbrella</t>
  </si>
  <si>
    <t>DNS Security</t>
  </si>
  <si>
    <t>Public Cloud Security Policy and Access</t>
  </si>
  <si>
    <t>Cisco Secure Firewall</t>
  </si>
  <si>
    <t>Data Center Firewall Operations</t>
  </si>
  <si>
    <t>Internet Edge Protection</t>
  </si>
  <si>
    <t>Cisco Intersight</t>
  </si>
  <si>
    <t>Simplified Operations</t>
  </si>
  <si>
    <t>Data Center Networking</t>
  </si>
  <si>
    <t>Data Center Network Operations</t>
  </si>
  <si>
    <t>Distributed Networking</t>
  </si>
  <si>
    <t>Distributed Networking with NDFC (DCNM)</t>
  </si>
  <si>
    <t>Fabric Provisioning and Operations with NDFC (DCNM)</t>
  </si>
  <si>
    <t>Network Provisioning and Operations</t>
  </si>
  <si>
    <t>Collaboration</t>
  </si>
  <si>
    <t>Webex Suite</t>
  </si>
  <si>
    <t>Webex Calling and App</t>
  </si>
  <si>
    <t>Cisco Contact Center</t>
  </si>
  <si>
    <t>Webex Contact Center</t>
  </si>
  <si>
    <t>Purchase</t>
  </si>
  <si>
    <t>Onboard</t>
  </si>
  <si>
    <t>Implement</t>
  </si>
  <si>
    <t>Use</t>
  </si>
  <si>
    <t>Engage</t>
  </si>
  <si>
    <t>Adopt</t>
  </si>
  <si>
    <t>Completed</t>
  </si>
  <si>
    <t>CR Party Name</t>
  </si>
  <si>
    <t>CR Party ID</t>
  </si>
  <si>
    <t>Current stage</t>
  </si>
  <si>
    <t>Current stage pending tasks</t>
  </si>
  <si>
    <t>Deal Incentive Expiry Date</t>
  </si>
  <si>
    <t>Sum of Missed Incentives</t>
  </si>
  <si>
    <t>Sum of Potential Incentives</t>
  </si>
  <si>
    <t>0/0</t>
  </si>
  <si>
    <t>Count</t>
  </si>
  <si>
    <t>Booking Value</t>
  </si>
  <si>
    <t>Eligible UC</t>
  </si>
  <si>
    <t>Eligible UC Adopted</t>
  </si>
  <si>
    <t>PVI Engagement - Onboard (.../10)</t>
  </si>
  <si>
    <t>PVI Engagement - Adopt (.../10)</t>
  </si>
  <si>
    <t>PVI Engagement - Total (.../10)</t>
  </si>
  <si>
    <t>For more details on PVI calculations, please check-out this resource:</t>
  </si>
  <si>
    <t>PVI metrics guide</t>
  </si>
  <si>
    <t>BE GEO ID</t>
  </si>
  <si>
    <t>Track</t>
  </si>
  <si>
    <t>Sub-Track</t>
  </si>
  <si>
    <t>Incentive Level</t>
  </si>
  <si>
    <t>Booking Date</t>
  </si>
  <si>
    <t>Booking Amount - Net to Cisco</t>
  </si>
  <si>
    <t>Stage</t>
  </si>
  <si>
    <t>Stage Completion Flag (Purchase)</t>
  </si>
  <si>
    <t>Stage Completion Date (Purchase)</t>
  </si>
  <si>
    <t>Stage Completion Flag(onboard)</t>
  </si>
  <si>
    <t>Stage Completion Date(onboard)</t>
  </si>
  <si>
    <t>Stage Completion Flag (Implement)</t>
  </si>
  <si>
    <t>Stage Completion Date (Implement)</t>
  </si>
  <si>
    <t>Stage Completion Flag(Use)</t>
  </si>
  <si>
    <t>Stage Completion Date(Use)</t>
  </si>
  <si>
    <t>Stage Completion Flag(Engage)</t>
  </si>
  <si>
    <t>Stage Completion Date(Engage)</t>
  </si>
  <si>
    <t>Stage Completion Flag(Adopt)</t>
  </si>
  <si>
    <t>Stage Completion Date(Adopt)</t>
  </si>
  <si>
    <t>Estimated Incentive Amount(Onboard)</t>
  </si>
  <si>
    <t>Estimated Incentive Amount(Use)</t>
  </si>
  <si>
    <t>Estimated Incentive Amount(Engage)</t>
  </si>
  <si>
    <t>Estimated Incentive Amount(Adopt)</t>
  </si>
  <si>
    <t>Task Details (Purchase)</t>
  </si>
  <si>
    <t>Maximum Incentive Deal Flag</t>
  </si>
  <si>
    <t>EA Flag</t>
  </si>
  <si>
    <t>CRPartyID-Offer</t>
  </si>
  <si>
    <t>OriginalIndex</t>
  </si>
  <si>
    <t>1st stage?</t>
  </si>
  <si>
    <t>Expires &lt;3M?</t>
  </si>
  <si>
    <t>EligibleOptedInIDs.CRPartyID-Offer</t>
  </si>
  <si>
    <t>Offer opted-in?</t>
  </si>
  <si>
    <t>Missed Incentives</t>
  </si>
  <si>
    <t>Earned?</t>
  </si>
  <si>
    <t>UC 25-50% eligible w/o opt-in</t>
  </si>
  <si>
    <t>UC 75% eligible w/o opt-in</t>
  </si>
  <si>
    <t>UC progressed and missed w/o opt-in</t>
  </si>
  <si>
    <t>NULL</t>
  </si>
  <si>
    <t>No</t>
  </si>
  <si>
    <t>Partner Name</t>
  </si>
  <si>
    <t>Partner Country</t>
  </si>
  <si>
    <t>Partner Region</t>
  </si>
  <si>
    <t>Booking Amount - Net to Cisco (Currency)</t>
  </si>
  <si>
    <t>Estimated Incentive Amount(Onboard) (Currency)</t>
  </si>
  <si>
    <t>Estimated Incentive Amount(Use) (Currency)</t>
  </si>
  <si>
    <t>Estimated Incentive Amount(Engage) (Currency)</t>
  </si>
  <si>
    <t>Estimated Incentive Amount(Adopt) (Currency)</t>
  </si>
  <si>
    <t>Task Details (Onboard)</t>
  </si>
  <si>
    <t>Task Details (Implement)</t>
  </si>
  <si>
    <t>Task Details (Use)</t>
  </si>
  <si>
    <t>Task Details (Engage)</t>
  </si>
  <si>
    <t>Task Details (Adopt)</t>
  </si>
  <si>
    <t>Max rows</t>
  </si>
  <si>
    <t>Fiscal Month</t>
  </si>
  <si>
    <t>Start</t>
  </si>
  <si>
    <t>End</t>
  </si>
  <si>
    <t>Bracket scores for PVI</t>
  </si>
  <si>
    <t>FY24M1</t>
  </si>
  <si>
    <t>FY24M2</t>
  </si>
  <si>
    <t>FY24M3</t>
  </si>
  <si>
    <t>FY24M4</t>
  </si>
  <si>
    <t>FY24M5</t>
  </si>
  <si>
    <t>FY24M6</t>
  </si>
  <si>
    <t>FY24M7</t>
  </si>
  <si>
    <t>FY24M8</t>
  </si>
  <si>
    <t>Total</t>
  </si>
  <si>
    <t>FY24M9</t>
  </si>
  <si>
    <t>High risk</t>
  </si>
  <si>
    <t>FY24M10</t>
  </si>
  <si>
    <t>Medium risk</t>
  </si>
  <si>
    <t>FY24M11</t>
  </si>
  <si>
    <t>Low risk</t>
  </si>
  <si>
    <t>FY24M12</t>
  </si>
  <si>
    <t>FY25M1</t>
  </si>
  <si>
    <t>FY25M2</t>
  </si>
  <si>
    <t>FY25M3</t>
  </si>
  <si>
    <t>FY25M4</t>
  </si>
  <si>
    <t>FY25M5</t>
  </si>
  <si>
    <t>FY25M6</t>
  </si>
  <si>
    <t>FY25M7</t>
  </si>
  <si>
    <t>FY25M8</t>
  </si>
  <si>
    <t>FY25M9</t>
  </si>
  <si>
    <t>FY25M10</t>
  </si>
  <si>
    <t>FY25M11</t>
  </si>
  <si>
    <t>FY25M12</t>
  </si>
  <si>
    <t>FY26M1</t>
  </si>
  <si>
    <t>FY26M2</t>
  </si>
  <si>
    <t>FY26M3</t>
  </si>
  <si>
    <t>FY26M4</t>
  </si>
  <si>
    <t>FY26M5</t>
  </si>
  <si>
    <t>FY26M6</t>
  </si>
  <si>
    <t>FY26M7</t>
  </si>
  <si>
    <t>FY26M8</t>
  </si>
  <si>
    <t>FY26M9</t>
  </si>
  <si>
    <t>FY26M10</t>
  </si>
  <si>
    <t>FY26M11</t>
  </si>
  <si>
    <t>FY26M12</t>
  </si>
  <si>
    <t>FY27M1</t>
  </si>
  <si>
    <t>FY27M2</t>
  </si>
  <si>
    <t>FY27M3</t>
  </si>
  <si>
    <t>FY27M4</t>
  </si>
  <si>
    <t>FY27M5</t>
  </si>
  <si>
    <t>FY27M6</t>
  </si>
  <si>
    <t>FY27M7</t>
  </si>
  <si>
    <t>FY27M8</t>
  </si>
  <si>
    <t>FY27M9</t>
  </si>
  <si>
    <t>FY27M10</t>
  </si>
  <si>
    <t>FY27M11</t>
  </si>
  <si>
    <t>FY27M12</t>
  </si>
  <si>
    <t xml:space="preserve">This spreadsheet is a tool created independently and is not an official Cisco product or tool. It is provided "as is" without any warranty or guarantee of accuracy or completeness. </t>
  </si>
  <si>
    <t xml:space="preserve">Partners using this spreadsheet are responsible for verifying all data, calculations, and results derived from it. </t>
  </si>
  <si>
    <t>Cisco disclaims any liability for errors, omissions, or damages resulting from the use of this spreadsheet.</t>
  </si>
  <si>
    <t>This dashboard is designed to support you in driving software adoption within your customer base, with the goal of enhancing your PVI Engagement score and increasing your CPI Adopt opportunities.</t>
  </si>
  <si>
    <t>Partners should rely on PXP (Partner Experience Platform) to get the official PVI scores. The below is an indication of the Engagement score based on current CPI performance.</t>
  </si>
  <si>
    <t>CPI Resources</t>
  </si>
  <si>
    <t>An Adopt incentive can be earned for only one specific use case within an offer at a designated customer location.</t>
  </si>
  <si>
    <t>Eligible UC Onboarded</t>
  </si>
  <si>
    <t>Deal ID</t>
  </si>
  <si>
    <t>Ratio Onboarded</t>
  </si>
  <si>
    <t>Ratio Adopted</t>
  </si>
  <si>
    <t>Earning through the CPI starts when a partner achieves a Partner Value Index (PVI) of 5 or higher.</t>
  </si>
  <si>
    <t>Opted-in</t>
  </si>
  <si>
    <t>Incentives</t>
  </si>
  <si>
    <t>Potential</t>
  </si>
  <si>
    <t>Cisco Partner Incentive program:</t>
  </si>
  <si>
    <t>Deal WS-ID</t>
  </si>
  <si>
    <t>Program Type</t>
  </si>
  <si>
    <t>Adopt Rebate Opt-In Status</t>
  </si>
  <si>
    <t>Adopt Rebate Start Date</t>
  </si>
  <si>
    <t>Current Stage Progress</t>
  </si>
  <si>
    <t>Estimated Earned Incentives</t>
  </si>
  <si>
    <t>Sum of Estimated Earned Incentives</t>
  </si>
  <si>
    <t>Estimated Earned</t>
  </si>
  <si>
    <t xml:space="preserve">IMPORTANT: definitions for each header have been added as Notes on that cell. </t>
  </si>
  <si>
    <r>
      <rPr>
        <sz val="11"/>
        <color rgb="FFFF0000"/>
        <rFont val="Aptos Narrow"/>
        <family val="2"/>
        <scheme val="minor"/>
      </rPr>
      <t>Red/</t>
    </r>
    <r>
      <rPr>
        <sz val="11"/>
        <color theme="5"/>
        <rFont val="Aptos Narrow"/>
        <family val="2"/>
        <scheme val="minor"/>
      </rPr>
      <t>Orange/</t>
    </r>
    <r>
      <rPr>
        <sz val="11"/>
        <color theme="6"/>
        <rFont val="Aptos Narrow"/>
        <family val="2"/>
        <scheme val="minor"/>
      </rPr>
      <t>Green</t>
    </r>
    <r>
      <rPr>
        <sz val="11"/>
        <color indexed="8"/>
        <rFont val="Aptos Narrow"/>
        <family val="2"/>
        <scheme val="minor"/>
      </rPr>
      <t xml:space="preserve"> collerate with the renewal risk level, respectively high/medium/low, as early adoption positively impacts renewal. Data covers last 18 months.</t>
    </r>
  </si>
  <si>
    <t>Potential remaining</t>
  </si>
  <si>
    <t>Revised Maximum Incentive Amount</t>
  </si>
  <si>
    <t>Revised Maximum Incentive Amount (Currency)</t>
  </si>
  <si>
    <t>Lifecycle charts</t>
  </si>
  <si>
    <t>Payout</t>
  </si>
  <si>
    <t>CPI Adopt charts</t>
  </si>
  <si>
    <t>Chart data</t>
  </si>
  <si>
    <t>Portfolio</t>
  </si>
  <si>
    <t>Select portfolio</t>
  </si>
  <si>
    <t>Select offer</t>
  </si>
  <si>
    <t>Definitions</t>
  </si>
  <si>
    <t>Deals where incentive expires in less than 3 months.</t>
  </si>
  <si>
    <t>Level</t>
  </si>
  <si>
    <t>EA deals.</t>
  </si>
  <si>
    <t>Not Eligible: not eligible for incentives (ex all stages completed, another UC opted-in in same offer).</t>
  </si>
  <si>
    <t>Eligible: can earn incentives on this deal.</t>
  </si>
  <si>
    <t>Expired: the incentive has reached the expiry date.</t>
  </si>
  <si>
    <t>Opt-in Status</t>
  </si>
  <si>
    <t>Opted Out: deal has been de-selected.</t>
  </si>
  <si>
    <t>Opted In: deal has been selected for CPI.</t>
  </si>
  <si>
    <t>Pending: opt-in is possible.</t>
  </si>
  <si>
    <t>Offer opted-in</t>
  </si>
  <si>
    <t>Any UC opted-in within this offer.</t>
  </si>
  <si>
    <t>Whether incentives have been earned on that UC or not.</t>
  </si>
  <si>
    <t>The technology domain that encompasses offers and UCs.</t>
  </si>
  <si>
    <t>Advanced UCs are designed for greater customer impact, with increased incentive values compared to Standard.</t>
  </si>
  <si>
    <t>The main solution that was sold to the customer.</t>
  </si>
  <si>
    <t>Explains the capabilities of a Cisco solution and actions to be taken to progress through lifecycle and achieve business outcomes.</t>
  </si>
  <si>
    <t>UC 25-50%</t>
  </si>
  <si>
    <t>A UC that has progressed by 1 or 2 stages (out of 4) and hasn't been opted-in yet.</t>
  </si>
  <si>
    <t>UC 75%</t>
  </si>
  <si>
    <t>A UC that has progressed by 3 stages (out of 4) and hasn't been opted-in yet.</t>
  </si>
  <si>
    <t>UC progressed and missed</t>
  </si>
  <si>
    <t>A UC that has completed all 4 earned stages in CPI.</t>
  </si>
  <si>
    <t>The below charts contain all-time data for CPI Adopt. One use case per offer and CR Party ID is selected: preference is given to opted-in use cases, otherwise, the highest-incentive use case is chosen.</t>
  </si>
  <si>
    <t>The charts below depict offer lifecycle progression using the net booking value of eligible SKUs. One use case per offer and CR Party ID is selected: preference is given to opted-in use cases, otherwise, the highest-incentive use case is chosen.</t>
  </si>
  <si>
    <t>Offer Risk Level</t>
  </si>
  <si>
    <t>High: UC is in Purchase/Onboard.</t>
  </si>
  <si>
    <t>Medium: UC is in Implement/Use.</t>
  </si>
  <si>
    <t>Low: UC is in Engage/Adopt/Completed.</t>
  </si>
  <si>
    <r>
      <t>Incentives: shows, for all opted-in UCs, the</t>
    </r>
    <r>
      <rPr>
        <sz val="11"/>
        <color theme="4" tint="-0.249977111117893"/>
        <rFont val="Aptos Narrow"/>
        <family val="2"/>
        <scheme val="minor"/>
      </rPr>
      <t xml:space="preserve"> total amount of estimated earned incentives</t>
    </r>
    <r>
      <rPr>
        <sz val="11"/>
        <color indexed="8"/>
        <rFont val="Aptos Narrow"/>
        <family val="2"/>
        <scheme val="minor"/>
      </rPr>
      <t xml:space="preserve"> and the </t>
    </r>
    <r>
      <rPr>
        <sz val="11"/>
        <color theme="5"/>
        <rFont val="Aptos Narrow"/>
        <family val="2"/>
        <scheme val="minor"/>
      </rPr>
      <t>remaining potential</t>
    </r>
    <r>
      <rPr>
        <sz val="11"/>
        <color indexed="8"/>
        <rFont val="Aptos Narrow"/>
        <family val="2"/>
        <scheme val="minor"/>
      </rPr>
      <t>.</t>
    </r>
  </si>
  <si>
    <t>Adot Rebate Start Date</t>
  </si>
  <si>
    <t>The deal booking date.</t>
  </si>
  <si>
    <r>
      <t xml:space="preserve">Opt-in Ratio: compares the </t>
    </r>
    <r>
      <rPr>
        <sz val="11"/>
        <color theme="6"/>
        <rFont val="Aptos Narrow"/>
        <family val="2"/>
        <scheme val="minor"/>
      </rPr>
      <t>potentially available payout for eligible opted-in UCs</t>
    </r>
    <r>
      <rPr>
        <sz val="11"/>
        <color indexed="8"/>
        <rFont val="Aptos Narrow"/>
        <family val="2"/>
        <scheme val="minor"/>
      </rPr>
      <t xml:space="preserve"> to </t>
    </r>
    <r>
      <rPr>
        <sz val="11"/>
        <color theme="8"/>
        <rFont val="Aptos Narrow"/>
        <family val="2"/>
        <scheme val="minor"/>
      </rPr>
      <t>what can still be opted-in</t>
    </r>
    <r>
      <rPr>
        <sz val="11"/>
        <color indexed="8"/>
        <rFont val="Aptos Narrow"/>
        <family val="2"/>
        <scheme val="minor"/>
      </rPr>
      <t>.</t>
    </r>
  </si>
  <si>
    <t>When the deal was opted-in.</t>
  </si>
  <si>
    <t>(1 UC/offer/CRPartyID is selected (opted-in or highest incentive)</t>
  </si>
  <si>
    <t>Multicloud Connectivity</t>
  </si>
  <si>
    <t>Network Security Analytics</t>
  </si>
  <si>
    <t>Days in stage</t>
  </si>
  <si>
    <t>Total Incentives</t>
  </si>
  <si>
    <t>Missed</t>
  </si>
  <si>
    <t>Deal CPI Portfolio</t>
  </si>
  <si>
    <t>CX Customer BU ID</t>
  </si>
  <si>
    <t>This section only works for Cisco-internal resources</t>
  </si>
  <si>
    <t>Access report here</t>
  </si>
  <si>
    <t>Region</t>
  </si>
  <si>
    <t>Weeks</t>
  </si>
  <si>
    <t>2026W11</t>
  </si>
  <si>
    <t>2026W12</t>
  </si>
  <si>
    <t>2026W13</t>
  </si>
  <si>
    <t>2026W14</t>
  </si>
  <si>
    <t>2026W15</t>
  </si>
  <si>
    <t>2026W16</t>
  </si>
  <si>
    <t>2026W17</t>
  </si>
  <si>
    <t>2026W18</t>
  </si>
  <si>
    <t>2026W19</t>
  </si>
  <si>
    <t>2026W20</t>
  </si>
  <si>
    <t>2026W21</t>
  </si>
  <si>
    <t>2026W22</t>
  </si>
  <si>
    <t>2026W23</t>
  </si>
  <si>
    <t>2026W24</t>
  </si>
  <si>
    <t>2026W25</t>
  </si>
  <si>
    <t>2026W26</t>
  </si>
  <si>
    <t>2026W27</t>
  </si>
  <si>
    <t>2026W28</t>
  </si>
  <si>
    <t>2026W29</t>
  </si>
  <si>
    <t>2026W30</t>
  </si>
  <si>
    <t>2026W31</t>
  </si>
  <si>
    <t>2026W32</t>
  </si>
  <si>
    <t>2026W33</t>
  </si>
  <si>
    <t>2026W34</t>
  </si>
  <si>
    <t>2026W35</t>
  </si>
  <si>
    <t>2026W36</t>
  </si>
  <si>
    <t>2026W37</t>
  </si>
  <si>
    <t>2026W38</t>
  </si>
  <si>
    <t>2026W39</t>
  </si>
  <si>
    <t>2026W40</t>
  </si>
  <si>
    <t>2026W41</t>
  </si>
  <si>
    <t>2026W42</t>
  </si>
  <si>
    <t>2026W43</t>
  </si>
  <si>
    <t>2026W44</t>
  </si>
  <si>
    <t>2026W45</t>
  </si>
  <si>
    <t>2026W46</t>
  </si>
  <si>
    <t>2026W47</t>
  </si>
  <si>
    <t>2026W48</t>
  </si>
  <si>
    <t>2026W49</t>
  </si>
  <si>
    <t>2026W50</t>
  </si>
  <si>
    <t>2026W51</t>
  </si>
  <si>
    <t>2026W52</t>
  </si>
  <si>
    <t>Week</t>
  </si>
  <si>
    <t>Name</t>
  </si>
  <si>
    <t>Partners</t>
  </si>
  <si>
    <t>Distributors</t>
  </si>
  <si>
    <r>
      <t xml:space="preserve">2. Select it using the </t>
    </r>
    <r>
      <rPr>
        <b/>
        <sz val="11"/>
        <color rgb="FF000000"/>
        <rFont val="Aptos Narrow"/>
        <family val="2"/>
        <scheme val="minor"/>
      </rPr>
      <t>Load Partner File</t>
    </r>
    <r>
      <rPr>
        <sz val="11"/>
        <color indexed="8"/>
        <rFont val="Aptos Narrow"/>
        <family val="2"/>
        <scheme val="minor"/>
      </rPr>
      <t xml:space="preserve"> button.</t>
    </r>
  </si>
  <si>
    <r>
      <t xml:space="preserve">2. Select it using the </t>
    </r>
    <r>
      <rPr>
        <b/>
        <sz val="11"/>
        <color rgb="FF000000"/>
        <rFont val="Aptos Narrow"/>
        <family val="2"/>
        <scheme val="minor"/>
      </rPr>
      <t>Load Disti File</t>
    </r>
    <r>
      <rPr>
        <sz val="11"/>
        <color indexed="8"/>
        <rFont val="Aptos Narrow"/>
        <family val="2"/>
        <scheme val="minor"/>
      </rPr>
      <t xml:space="preserve"> button.</t>
    </r>
  </si>
  <si>
    <r>
      <t xml:space="preserve">1. Export Funds Manager </t>
    </r>
    <r>
      <rPr>
        <b/>
        <sz val="11"/>
        <color rgb="FF000000"/>
        <rFont val="Aptos Narrow"/>
        <family val="2"/>
        <scheme val="minor"/>
      </rPr>
      <t>report 19849</t>
    </r>
    <r>
      <rPr>
        <sz val="11"/>
        <color indexed="8"/>
        <rFont val="Aptos Narrow"/>
        <family val="2"/>
        <scheme val="minor"/>
      </rPr>
      <t xml:space="preserve"> as Excel.</t>
    </r>
  </si>
  <si>
    <r>
      <t xml:space="preserve">1. Download Funds Manager </t>
    </r>
    <r>
      <rPr>
        <b/>
        <sz val="11"/>
        <color rgb="FF000000"/>
        <rFont val="Aptos Narrow"/>
        <family val="2"/>
        <scheme val="minor"/>
      </rPr>
      <t>report 21766</t>
    </r>
    <r>
      <rPr>
        <sz val="11"/>
        <color indexed="8"/>
        <rFont val="Aptos Narrow"/>
        <family val="2"/>
        <scheme val="minor"/>
      </rPr>
      <t xml:space="preserve"> as Excel.</t>
    </r>
  </si>
  <si>
    <t>Deal Name</t>
  </si>
  <si>
    <t>Updates and turorial:</t>
  </si>
  <si>
    <t>https://cs.co/AdoptDash</t>
  </si>
  <si>
    <t>Is within 18 FM</t>
  </si>
  <si>
    <t>PVI Eligible</t>
  </si>
  <si>
    <t>PVI Onboard</t>
  </si>
  <si>
    <t>PVI Adopt</t>
  </si>
  <si>
    <t>PVI Eligible/Onboard/Adopt</t>
  </si>
  <si>
    <t>UCs that are included in the PVI Engagement score calculations.</t>
  </si>
  <si>
    <t>Target Booking Value Onboarded</t>
  </si>
  <si>
    <t>Target Booking Value Adopted</t>
  </si>
  <si>
    <t>Simulation</t>
  </si>
  <si>
    <t>Score may differ slightly from PXP due to the timing of data capture.</t>
  </si>
  <si>
    <t>PVI Engagement calculation:</t>
  </si>
  <si>
    <t>- Only considers eligible UCs that have a booking date within the past 18 fiscal months;</t>
  </si>
  <si>
    <t>- 1 UC per offer is selected. Priority is given to the opted-in UC. If no UC is opted-in, the UC with the highest incentive amount is selected;</t>
  </si>
  <si>
    <t>- A UC that completes the Adopt phase will become Not Eligible if it is not opted-in, and will not be included in PVI calculations;</t>
  </si>
  <si>
    <t>Identity Services Engine</t>
  </si>
  <si>
    <t>Network Access Control</t>
  </si>
  <si>
    <t>Cloud + AI Infrastructure</t>
  </si>
  <si>
    <t>Cisco Secure Network Analytics</t>
  </si>
  <si>
    <t>CRPartyName-ID</t>
  </si>
  <si>
    <t>CRPartyNameID</t>
  </si>
  <si>
    <t>https://salesresources.cisco.com/Link/Content/DC7RTb387qGWh8qWmHhfR494d48j</t>
  </si>
  <si>
    <t>https://salesresources.cisco.com/Link/Content/DCVDV84mh3TJQ8QDPD3b8W2DTcW3</t>
  </si>
  <si>
    <t>https://salesresources.cisco.com/Link/Content/DC9H9RVF89BMXGF2dXb2BFQFM7T8</t>
  </si>
  <si>
    <t>https://salesresources.cisco.com/Link/Content/DCc8W63BVHF4W87WV3Pf8PVcFq8P</t>
  </si>
  <si>
    <t>https://salesresources.cisco.com/Link/Content/DCmXHjbd8qqG284Jc2h7fhqCjXhG</t>
  </si>
  <si>
    <t>https://salesresources.cisco.com/Link/Content/DCXqmHdjGfcB38CCfXbBcTWMXTQV</t>
  </si>
  <si>
    <t>https://salesresources.cisco.com/Link/Content/DCqqQQh9MFjC7GhB4f27p3Q29Mp8</t>
  </si>
  <si>
    <t>https://salesresources.cisco.com/Link/Content/DCc6fbbGg4Dhh872BFDXbjP9T3c8</t>
  </si>
  <si>
    <t>https://salesresources.cisco.com/Link/Content/DCT9mHbWqbjVq89JRmXWmcRjdF6d</t>
  </si>
  <si>
    <t>https://salesresources.cisco.com/Link/Content/DC6b33dB8DFQ7GFD884m9JCFVHRd</t>
  </si>
  <si>
    <t>https://salesresources.cisco.com/Link/Content/DCXpXdRBQW63287WQf7pVJm4fqFd</t>
  </si>
  <si>
    <t>https://salesresources.cisco.com/Link/Content/DCq946RP494fQGhMMj8Tj7DFhMFB</t>
  </si>
  <si>
    <t>https://salesresources.cisco.com/Link/Content/DCJFWjc8VhHmdGc27fQgm7VG8dJ8</t>
  </si>
  <si>
    <t>https://salesresources.cisco.com/Link/Content/DCjjXWbm7hpJPGcT9XpV7MpW47cj</t>
  </si>
  <si>
    <t>https://salesresources.cisco.com/Link/Content/DC4Pd2GRgGFRg8cFdMQWMqcMFC7d</t>
  </si>
  <si>
    <t>https://salesresources.cisco.com/Link/Content/DCMTJ82j6CjgbG9RT6pMjpgDpFXG</t>
  </si>
  <si>
    <t>https://salesresources.cisco.com/Link/Content/DC7Qh9M2bJHDM8f2fjDqhPjVX6Pj</t>
  </si>
  <si>
    <t>https://salesresources.cisco.com/Link/Content/DCbB2Mm8GbV3G8qJJgmb4qqQJJTP</t>
  </si>
  <si>
    <t>https://salesresources.cisco.com/Link/Content/DCH4dRd8bC7q38WDVGPCqjTdgf2j</t>
  </si>
  <si>
    <t>https://salesresources.cisco.com/Link/Content/DCC6qVR97QGWH8fX7DjRdCRWgHCB</t>
  </si>
  <si>
    <t>https://salesresources.cisco.com/Link/Content/DCCjTFMPQQWGG8WF2GjCgHCRpffB</t>
  </si>
  <si>
    <t>https://salesresources.cisco.com/Link/Content/DCHFpmXWT92HTGQCqH6Mfm3gCPj3</t>
  </si>
  <si>
    <t>https://salesresources.cisco.com/Link/Content/DCTmhf2TBqq4WG7Xh7TVbHDTFfF3</t>
  </si>
  <si>
    <t>https://salesresources.cisco.com/Link/Content/DCJThRm6W4gMBGHWGRP9bRXh8Hjd</t>
  </si>
  <si>
    <t>https://salesresources.cisco.com/Link/Content/DC3h72hWC28BDG2MFXj9FQWdFgd8</t>
  </si>
  <si>
    <t>https://salesresources.cisco.com/Link/Content/DChWJPjDhBHCG8cQQT4dJhGDGqXB</t>
  </si>
  <si>
    <t>Guide</t>
  </si>
  <si>
    <t>Stage Progress</t>
  </si>
  <si>
    <t>Pending Tasks</t>
  </si>
  <si>
    <t>Days in Stage</t>
  </si>
  <si>
    <t>Days to Expiry</t>
  </si>
  <si>
    <t>Current Stage</t>
  </si>
  <si>
    <t>Enablement Guide</t>
  </si>
  <si>
    <t>Select your customer (name-ID) to get details on opted-in use-cases.</t>
  </si>
  <si>
    <t>Adopt Rebate Expiry Date</t>
  </si>
  <si>
    <t>Workspan Deal ID</t>
  </si>
  <si>
    <t>FY28M1</t>
  </si>
  <si>
    <t>Cisco Relationship</t>
  </si>
  <si>
    <t>2T Partner Name</t>
  </si>
  <si>
    <t>2T Partner BE GEO ID</t>
  </si>
  <si>
    <t>Plan Name</t>
  </si>
  <si>
    <t>Stage completed before opt-in</t>
  </si>
  <si>
    <t>Values in columns E-M cannot be summed up because earning is available to one use case per offer per customer.</t>
  </si>
  <si>
    <t>5.1</t>
  </si>
  <si>
    <t>TBD</t>
  </si>
  <si>
    <t>Opt-ins</t>
  </si>
  <si>
    <t>Earned</t>
  </si>
  <si>
    <t>(blank)</t>
  </si>
  <si>
    <t>Active UC Progressed</t>
  </si>
  <si>
    <t>New eligible</t>
  </si>
  <si>
    <t>Data cleared.</t>
  </si>
  <si>
    <t>New Eligible</t>
  </si>
  <si>
    <t>UCs eligible for opt-in, booked within the past 30 days.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</si>
</sst>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quot;€&quot;* #,##0.00_);_(&quot;€&quot;* \(#,##0.00\);_(&quot;€&quot;* &quot;-&quot;??_);_(@_)"/>
    <numFmt numFmtId="165" formatCode="dd/mmm/yyyy"/>
    <numFmt numFmtId="166" formatCode="_-[$$-409]* #,##0_ ;_-[$$-409]* \-#,##0\ ;_-[$$-409]* &quot;-&quot;??_ ;_-@_ "/>
    <numFmt numFmtId="167" formatCode="[$$-409]#,##0"/>
    <numFmt numFmtId="168" formatCode="m/d/yyyy"/>
    <numFmt numFmtId="169" formatCode="&quot;Completed&quot;"/>
    <numFmt numFmtId="170" formatCode="&quot;€&quot;#,##0"/>
  </numFmts>
  <fonts count="44" x14ac:knownFonts="1">
    <font>
      <sz val="11"/>
      <color indexed="8"/>
      <name val="Aptos Narrow"/>
      <family val="2"/>
      <scheme val="minor"/>
    </font>
    <font>
      <sz val="10"/>
      <name val="Sylfaen"/>
      <family val="1"/>
    </font>
    <font>
      <b/>
      <sz val="11"/>
      <color indexed="8"/>
      <name val="Aptos Narrow"/>
      <family val="2"/>
      <scheme val="minor"/>
    </font>
    <font>
      <sz val="8"/>
      <name val="Aptos Narrow"/>
      <family val="2"/>
      <scheme val="minor"/>
    </font>
    <font>
      <sz val="11"/>
      <color rgb="FFFF0000"/>
      <name val="Aptos Narrow"/>
      <family val="2"/>
      <scheme val="minor"/>
    </font>
    <font>
      <u/>
      <sz val="11"/>
      <color theme="10"/>
      <name val="Aptos Narrow"/>
      <family val="2"/>
      <scheme val="minor"/>
    </font>
    <font>
      <b/>
      <sz val="11"/>
      <color rgb="FF000000"/>
      <name val="Aptos Narrow"/>
      <family val="2"/>
      <scheme val="minor"/>
    </font>
    <font>
      <b/>
      <sz val="8"/>
      <color rgb="FF000000"/>
      <name val="Aptos Narrow"/>
      <family val="2"/>
      <scheme val="minor"/>
    </font>
    <font>
      <sz val="8"/>
      <color indexed="8"/>
      <name val="Aptos Narrow"/>
      <family val="2"/>
      <scheme val="minor"/>
    </font>
    <font>
      <b/>
      <sz val="11"/>
      <color rgb="FFFF0000"/>
      <name val="Aptos Narrow"/>
      <family val="2"/>
      <scheme val="minor"/>
    </font>
    <font>
      <b/>
      <sz val="14"/>
      <color rgb="FFFF0000"/>
      <name val="Aptos Narrow"/>
      <family val="2"/>
      <scheme val="minor"/>
    </font>
    <font>
      <sz val="14"/>
      <color indexed="8"/>
      <name val="Aptos Narrow"/>
      <family val="2"/>
      <scheme val="minor"/>
    </font>
    <font>
      <sz val="11"/>
      <color indexed="8"/>
      <name val="Aptos Narrow"/>
      <family val="2"/>
      <scheme val="minor"/>
    </font>
    <font>
      <b/>
      <sz val="9"/>
      <color indexed="8"/>
      <name val="Aptos Narrow"/>
      <family val="2"/>
      <scheme val="minor"/>
    </font>
    <font>
      <sz val="9"/>
      <color indexed="8"/>
      <name val="Aptos Narrow"/>
      <family val="2"/>
      <scheme val="minor"/>
    </font>
    <font>
      <b/>
      <sz val="12"/>
      <color rgb="FFFF0000"/>
      <name val="Aptos Narrow"/>
      <family val="2"/>
      <scheme val="minor"/>
    </font>
    <font>
      <sz val="12"/>
      <color rgb="FFFF0000"/>
      <name val="Aptos Narrow"/>
      <family val="2"/>
      <scheme val="minor"/>
    </font>
    <font>
      <sz val="11"/>
      <color theme="5"/>
      <name val="Aptos Narrow"/>
      <family val="2"/>
      <scheme val="minor"/>
    </font>
    <font>
      <sz val="11"/>
      <color theme="6"/>
      <name val="Aptos Narrow"/>
      <family val="2"/>
      <scheme val="minor"/>
    </font>
    <font>
      <sz val="11"/>
      <name val="Aptos Narrow"/>
      <family val="2"/>
      <scheme val="minor"/>
    </font>
    <font>
      <b/>
      <u/>
      <sz val="11"/>
      <color theme="10"/>
      <name val="Aptos Narrow"/>
      <family val="2"/>
      <scheme val="minor"/>
    </font>
    <font>
      <b/>
      <sz val="11"/>
      <color rgb="FF000000"/>
      <name val="Aptos Narrow"/>
      <family val="2"/>
    </font>
    <font>
      <sz val="9"/>
      <color indexed="81"/>
      <name val="Tahoma"/>
      <family val="2"/>
    </font>
    <font>
      <sz val="16"/>
      <color indexed="8"/>
      <name val="Aptos Narrow"/>
      <family val="2"/>
      <scheme val="minor"/>
    </font>
    <font>
      <b/>
      <sz val="16"/>
      <color indexed="8"/>
      <name val="Aptos Narrow"/>
      <family val="2"/>
      <scheme val="minor"/>
    </font>
    <font>
      <b/>
      <sz val="16"/>
      <color rgb="FFFF0000"/>
      <name val="Aptos Narrow"/>
      <family val="2"/>
      <scheme val="minor"/>
    </font>
    <font>
      <sz val="11"/>
      <color theme="8"/>
      <name val="Aptos Narrow"/>
      <family val="2"/>
      <scheme val="minor"/>
    </font>
    <font>
      <sz val="11"/>
      <color theme="4" tint="-0.249977111117893"/>
      <name val="Aptos Narrow"/>
      <family val="2"/>
      <scheme val="minor"/>
    </font>
    <font>
      <sz val="11"/>
      <color theme="4"/>
      <name val="Aptos Narrow"/>
      <family val="2"/>
      <scheme val="minor"/>
    </font>
    <font>
      <b/>
      <sz val="9"/>
      <color rgb="FF000000"/>
      <name val="Aptos Narrow"/>
      <family val="2"/>
    </font>
    <font>
      <sz val="9"/>
      <color theme="2" tint="-0.249977111117893"/>
      <name val="Aptos Narrow"/>
      <family val="2"/>
      <scheme val="minor"/>
    </font>
    <font>
      <sz val="8"/>
      <color theme="2" tint="-0.249977111117893"/>
      <name val="Aptos Narrow"/>
      <family val="2"/>
      <scheme val="minor"/>
    </font>
    <font>
      <u/>
      <sz val="9"/>
      <color theme="10"/>
      <name val="Aptos Narrow"/>
      <family val="2"/>
      <scheme val="minor"/>
    </font>
    <font>
      <b/>
      <sz val="10"/>
      <color rgb="FF000000"/>
      <name val="Aptos Narrow"/>
      <family val="2"/>
    </font>
    <font>
      <b/>
      <i/>
      <sz val="8"/>
      <color theme="2" tint="-0.249977111117893"/>
      <name val="Aptos Narrow"/>
      <family val="2"/>
      <scheme val="minor"/>
    </font>
    <font>
      <sz val="11"/>
      <color rgb="FF000000"/>
      <name val="Aptos Narrow"/>
      <family val="2"/>
      <scheme val="minor"/>
    </font>
    <font>
      <b/>
      <sz val="9"/>
      <color rgb="FFFFFFFF"/>
      <name val="Aptos Narrow"/>
      <family val="2"/>
      <scheme val="minor"/>
    </font>
    <font>
      <b/>
      <sz val="10"/>
      <color rgb="FFFFFFFF"/>
      <name val="Aptos Narrow"/>
      <family val="2"/>
      <scheme val="minor"/>
    </font>
    <font>
      <b/>
      <sz val="12"/>
      <color rgb="FF1F497D"/>
      <name val="Aptos Narrow"/>
      <family val="2"/>
      <scheme val="minor"/>
    </font>
    <font>
      <b/>
      <sz val="10"/>
      <color indexed="8"/>
      <name val="Aptos Narrow"/>
      <family val="2"/>
      <scheme val="minor"/>
    </font>
    <font>
      <sz val="10"/>
      <color indexed="8"/>
      <name val="Aptos Narrow"/>
      <family val="2"/>
      <scheme val="minor"/>
    </font>
    <font>
      <sz val="9"/>
      <color rgb="FF505050"/>
      <name val="Aptos Narrow"/>
      <family val="2"/>
      <scheme val="minor"/>
    </font>
    <font>
      <b/>
      <sz val="10"/>
      <name val="Aptos Narrow"/>
      <family val="2"/>
      <scheme val="minor"/>
    </font>
    <font>
      <sz val="11"/>
      <color rgb="FF000000"/>
      <name val="Aptos Narrow"/>
      <family val="2"/>
    </font>
  </fonts>
  <fills count="26">
    <fill>
      <patternFill patternType="none"/>
    </fill>
    <fill>
      <patternFill patternType="gray125"/>
    </fill>
    <fill>
      <patternFill patternType="solid">
        <fgColor rgb="FFFFC000"/>
        <bgColor indexed="64"/>
      </patternFill>
    </fill>
    <fill>
      <patternFill patternType="solid">
        <fgColor theme="6" tint="0.39997558519241921"/>
        <bgColor indexed="64"/>
      </patternFill>
    </fill>
    <fill>
      <patternFill patternType="solid">
        <fgColor theme="4" tint="0.59999389629810485"/>
        <bgColor indexed="64"/>
      </patternFill>
    </fill>
    <fill>
      <patternFill patternType="solid">
        <fgColor rgb="FFFFFF00"/>
        <bgColor indexed="64"/>
      </patternFill>
    </fill>
    <fill>
      <patternFill patternType="solid">
        <fgColor theme="0" tint="-0.14999847407452621"/>
        <bgColor indexed="64"/>
      </patternFill>
    </fill>
    <fill>
      <patternFill patternType="solid">
        <fgColor rgb="FFFF5757"/>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rgb="FF1F497D"/>
        <bgColor indexed="64"/>
      </patternFill>
    </fill>
    <fill>
      <patternFill patternType="solid">
        <fgColor rgb="FF4472C4"/>
        <bgColor indexed="64"/>
      </patternFill>
    </fill>
    <fill>
      <patternFill patternType="solid">
        <fgColor rgb="FFDDEBF7"/>
        <bgColor indexed="64"/>
      </patternFill>
    </fill>
    <fill>
      <patternFill patternType="solid">
        <fgColor rgb="FFFFFFFF"/>
        <bgColor indexed="64"/>
      </patternFill>
    </fill>
    <fill>
      <patternFill patternType="solid">
        <fgColor rgb="FFEBF6EE"/>
        <bgColor indexed="64"/>
      </patternFill>
    </fill>
    <fill>
      <patternFill patternType="solid">
        <fgColor rgb="FFC6EFCE"/>
        <bgColor indexed="64"/>
      </patternFill>
    </fill>
    <fill>
      <patternFill patternType="solid">
        <fgColor rgb="FFF2F0F8"/>
        <bgColor indexed="64"/>
      </patternFill>
    </fill>
    <fill>
      <patternFill patternType="solid">
        <fgColor rgb="FFE6E0F4"/>
        <bgColor indexed="64"/>
      </patternFill>
    </fill>
    <fill>
      <patternFill patternType="solid">
        <fgColor rgb="FFFFFCF2"/>
        <bgColor indexed="64"/>
      </patternFill>
    </fill>
    <fill>
      <patternFill patternType="solid">
        <fgColor rgb="FFFFF3CD"/>
        <bgColor indexed="64"/>
      </patternFill>
    </fill>
    <fill>
      <patternFill patternType="solid">
        <fgColor rgb="FFF0F4FA"/>
        <bgColor indexed="64"/>
      </patternFill>
    </fill>
    <fill>
      <patternFill patternType="solid">
        <fgColor theme="0"/>
        <bgColor indexed="64"/>
      </patternFill>
    </fill>
  </fills>
  <borders count="64">
    <border>
      <left/>
      <right/>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style="thin">
        <color indexed="64"/>
      </bottom>
      <diagonal/>
    </border>
    <border>
      <left style="thin">
        <color indexed="64"/>
      </left>
      <right/>
      <top/>
      <bottom style="medium">
        <color indexed="64"/>
      </bottom>
      <diagonal/>
    </border>
    <border>
      <left/>
      <right style="thin">
        <color indexed="64"/>
      </right>
      <top/>
      <bottom style="medium">
        <color indexed="64"/>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right/>
      <top/>
      <bottom style="thin">
        <color indexed="64"/>
      </bottom>
      <diagonal/>
    </border>
    <border>
      <left style="medium">
        <color indexed="64"/>
      </left>
      <right/>
      <top/>
      <bottom style="medium">
        <color indexed="64"/>
      </bottom>
      <diagonal/>
    </border>
    <border>
      <left style="medium">
        <color indexed="64"/>
      </left>
      <right/>
      <top style="medium">
        <color indexed="64"/>
      </top>
      <bottom style="thin">
        <color indexed="64"/>
      </bottom>
      <diagonal/>
    </border>
    <border>
      <left style="medium">
        <color indexed="64"/>
      </left>
      <right/>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thin">
        <color indexed="64"/>
      </right>
      <top style="medium">
        <color rgb="FFFF0000"/>
      </top>
      <bottom style="thin">
        <color indexed="64"/>
      </bottom>
      <diagonal/>
    </border>
    <border>
      <left/>
      <right style="medium">
        <color rgb="FFFF0000"/>
      </right>
      <top style="medium">
        <color rgb="FFFF0000"/>
      </top>
      <bottom style="thin">
        <color indexed="64"/>
      </bottom>
      <diagonal/>
    </border>
    <border>
      <left/>
      <right style="medium">
        <color rgb="FFFF0000"/>
      </right>
      <top/>
      <bottom style="thin">
        <color indexed="64"/>
      </bottom>
      <diagonal/>
    </border>
    <border>
      <left/>
      <right/>
      <top style="medium">
        <color rgb="FFFF0000"/>
      </top>
      <bottom style="thin">
        <color indexed="64"/>
      </bottom>
      <diagonal/>
    </border>
    <border>
      <left style="medium">
        <color rgb="FFFF0000"/>
      </left>
      <right style="thin">
        <color indexed="64"/>
      </right>
      <top style="medium">
        <color rgb="FFFF0000"/>
      </top>
      <bottom style="thin">
        <color indexed="64"/>
      </bottom>
      <diagonal/>
    </border>
    <border>
      <left style="medium">
        <color rgb="FFFF0000"/>
      </left>
      <right style="thin">
        <color indexed="64"/>
      </right>
      <top/>
      <bottom/>
      <diagonal/>
    </border>
    <border>
      <left style="medium">
        <color rgb="FFFF0000"/>
      </left>
      <right style="thin">
        <color indexed="64"/>
      </right>
      <top/>
      <bottom style="thin">
        <color indexed="64"/>
      </bottom>
      <diagonal/>
    </border>
    <border>
      <left style="medium">
        <color rgb="FFFF0000"/>
      </left>
      <right style="thin">
        <color indexed="64"/>
      </right>
      <top style="thin">
        <color indexed="64"/>
      </top>
      <bottom/>
      <diagonal/>
    </border>
    <border>
      <left style="medium">
        <color rgb="FFFF0000"/>
      </left>
      <right style="thin">
        <color indexed="64"/>
      </right>
      <top/>
      <bottom style="medium">
        <color rgb="FFFF0000"/>
      </bottom>
      <diagonal/>
    </border>
    <border>
      <left/>
      <right style="medium">
        <color rgb="FFFF0000"/>
      </right>
      <top style="thin">
        <color indexed="64"/>
      </top>
      <bottom style="medium">
        <color rgb="FFFF0000"/>
      </bottom>
      <diagonal/>
    </border>
    <border>
      <left/>
      <right style="thin">
        <color indexed="64"/>
      </right>
      <top style="thin">
        <color indexed="64"/>
      </top>
      <bottom style="medium">
        <color rgb="FFFF0000"/>
      </bottom>
      <diagonal/>
    </border>
    <border>
      <left style="thin">
        <color indexed="64"/>
      </left>
      <right/>
      <top style="medium">
        <color rgb="FFFF0000"/>
      </top>
      <bottom style="thin">
        <color indexed="64"/>
      </bottom>
      <diagonal/>
    </border>
    <border>
      <left/>
      <right style="medium">
        <color rgb="FFFF0000"/>
      </right>
      <top style="thin">
        <color indexed="64"/>
      </top>
      <bottom/>
      <diagonal/>
    </border>
    <border>
      <left style="thin">
        <color indexed="64"/>
      </left>
      <right/>
      <top style="thin">
        <color indexed="64"/>
      </top>
      <bottom style="medium">
        <color rgb="FFFF0000"/>
      </bottom>
      <diagonal/>
    </border>
    <border>
      <left style="medium">
        <color indexed="64"/>
      </left>
      <right/>
      <top style="medium">
        <color indexed="64"/>
      </top>
      <bottom style="medium">
        <color indexed="64"/>
      </bottom>
      <diagonal/>
    </border>
    <border>
      <left style="medium">
        <color auto="1"/>
      </left>
      <right/>
      <top style="medium">
        <color indexed="64"/>
      </top>
      <bottom style="thin">
        <color rgb="FFB4B4B4"/>
      </bottom>
      <diagonal/>
    </border>
    <border>
      <left style="medium">
        <color auto="1"/>
      </left>
      <right/>
      <top style="thin">
        <color rgb="FFB4B4B4"/>
      </top>
      <bottom/>
      <diagonal/>
    </border>
    <border>
      <left style="medium">
        <color auto="1"/>
      </left>
      <right/>
      <top style="medium">
        <color rgb="FFB4B4B4"/>
      </top>
      <bottom style="thin">
        <color rgb="FFB4B4B4"/>
      </bottom>
      <diagonal/>
    </border>
    <border>
      <left style="medium">
        <color auto="1"/>
      </left>
      <right/>
      <top style="thin">
        <color rgb="FFB4B4B4"/>
      </top>
      <bottom style="medium">
        <color indexed="64"/>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s>
  <cellStyleXfs count="4">
    <xf numFmtId="0" fontId="0" fillId="0" borderId="0"/>
    <xf numFmtId="0" fontId="5" fillId="0" borderId="0" applyNumberFormat="0" applyFill="0" applyBorder="0" applyAlignment="0" applyProtection="0"/>
    <xf numFmtId="9" fontId="12" fillId="0" borderId="0" applyFont="0" applyFill="0" applyBorder="0" applyAlignment="0" applyProtection="0"/>
    <xf numFmtId="164" fontId="12" fillId="0" borderId="0" applyFont="0" applyFill="0" applyBorder="0" applyAlignment="0" applyProtection="0"/>
  </cellStyleXfs>
  <cellXfs count="268">
    <xf numFmtId="0" fontId="0" fillId="0" borderId="0" xfId="0"/>
    <xf numFmtId="0" fontId="1" fillId="0" borderId="0" xfId="0" applyFont="1" applyAlignment="1">
      <alignment horizontal="left" vertical="top"/>
    </xf>
    <xf numFmtId="2" fontId="1" fillId="0" borderId="0" xfId="0" applyNumberFormat="1" applyFont="1" applyAlignment="1">
      <alignment horizontal="left" vertical="top"/>
    </xf>
    <xf numFmtId="165" fontId="1" fillId="0" borderId="0" xfId="0" applyNumberFormat="1" applyFont="1" applyAlignment="1">
      <alignment horizontal="left" vertical="top"/>
    </xf>
    <xf numFmtId="0" fontId="0" fillId="0" borderId="1" xfId="0" applyBorder="1"/>
    <xf numFmtId="0" fontId="0" fillId="0" borderId="4" xfId="0" applyBorder="1"/>
    <xf numFmtId="0" fontId="0" fillId="0" borderId="6" xfId="0" applyBorder="1"/>
    <xf numFmtId="0" fontId="2" fillId="0" borderId="6" xfId="0" applyFont="1" applyBorder="1" applyAlignment="1">
      <alignment vertical="center"/>
    </xf>
    <xf numFmtId="0" fontId="2" fillId="0" borderId="0" xfId="0" applyFont="1"/>
    <xf numFmtId="0" fontId="4" fillId="0" borderId="0" xfId="0" applyFont="1"/>
    <xf numFmtId="0" fontId="2" fillId="2" borderId="6" xfId="0" applyFont="1" applyFill="1" applyBorder="1" applyAlignment="1">
      <alignment vertical="center" wrapText="1"/>
    </xf>
    <xf numFmtId="166" fontId="0" fillId="2" borderId="1" xfId="0" applyNumberFormat="1" applyFill="1" applyBorder="1" applyAlignment="1">
      <alignment wrapText="1"/>
    </xf>
    <xf numFmtId="166" fontId="0" fillId="2" borderId="4" xfId="0" applyNumberFormat="1" applyFill="1" applyBorder="1" applyAlignment="1">
      <alignment wrapText="1"/>
    </xf>
    <xf numFmtId="166" fontId="0" fillId="2" borderId="6" xfId="0" applyNumberFormat="1" applyFill="1" applyBorder="1" applyAlignment="1">
      <alignment wrapText="1"/>
    </xf>
    <xf numFmtId="0" fontId="2" fillId="3" borderId="6" xfId="0" applyFont="1" applyFill="1" applyBorder="1" applyAlignment="1">
      <alignment vertical="center" wrapText="1"/>
    </xf>
    <xf numFmtId="166" fontId="0" fillId="3" borderId="1" xfId="0" applyNumberFormat="1" applyFill="1" applyBorder="1" applyAlignment="1">
      <alignment wrapText="1"/>
    </xf>
    <xf numFmtId="166" fontId="0" fillId="3" borderId="4" xfId="0" applyNumberFormat="1" applyFill="1" applyBorder="1" applyAlignment="1">
      <alignment wrapText="1"/>
    </xf>
    <xf numFmtId="166" fontId="0" fillId="3" borderId="6" xfId="0" applyNumberFormat="1" applyFill="1" applyBorder="1" applyAlignment="1">
      <alignment wrapText="1"/>
    </xf>
    <xf numFmtId="0" fontId="2" fillId="4" borderId="6" xfId="0" applyFont="1" applyFill="1" applyBorder="1" applyAlignment="1">
      <alignment vertical="center" wrapText="1"/>
    </xf>
    <xf numFmtId="0" fontId="0" fillId="2" borderId="1" xfId="0" applyFill="1" applyBorder="1" applyAlignment="1">
      <alignment horizontal="center" wrapText="1"/>
    </xf>
    <xf numFmtId="0" fontId="0" fillId="3" borderId="1" xfId="0" applyFill="1" applyBorder="1" applyAlignment="1">
      <alignment horizontal="center" wrapText="1"/>
    </xf>
    <xf numFmtId="0" fontId="0" fillId="4" borderId="1" xfId="0" applyFill="1" applyBorder="1" applyAlignment="1">
      <alignment horizontal="center" wrapText="1"/>
    </xf>
    <xf numFmtId="0" fontId="0" fillId="2" borderId="4" xfId="0" applyFill="1" applyBorder="1" applyAlignment="1">
      <alignment horizontal="center" wrapText="1"/>
    </xf>
    <xf numFmtId="0" fontId="0" fillId="3" borderId="4" xfId="0" applyFill="1" applyBorder="1" applyAlignment="1">
      <alignment horizontal="center" wrapText="1"/>
    </xf>
    <xf numFmtId="0" fontId="0" fillId="4" borderId="4" xfId="0" applyFill="1" applyBorder="1" applyAlignment="1">
      <alignment horizontal="center" wrapText="1"/>
    </xf>
    <xf numFmtId="0" fontId="0" fillId="2" borderId="6" xfId="0" applyFill="1" applyBorder="1" applyAlignment="1">
      <alignment horizontal="center" wrapText="1"/>
    </xf>
    <xf numFmtId="0" fontId="0" fillId="3" borderId="6" xfId="0" applyFill="1" applyBorder="1" applyAlignment="1">
      <alignment horizontal="center" wrapText="1"/>
    </xf>
    <xf numFmtId="0" fontId="0" fillId="4" borderId="6" xfId="0" applyFill="1" applyBorder="1" applyAlignment="1">
      <alignment horizontal="center" wrapText="1"/>
    </xf>
    <xf numFmtId="0" fontId="2" fillId="0" borderId="0" xfId="0" applyFont="1" applyAlignment="1">
      <alignment horizontal="right"/>
    </xf>
    <xf numFmtId="0" fontId="8" fillId="0" borderId="0" xfId="0" applyFont="1"/>
    <xf numFmtId="0" fontId="0" fillId="0" borderId="0" xfId="0" applyAlignment="1">
      <alignment horizontal="center" wrapText="1"/>
    </xf>
    <xf numFmtId="166" fontId="0" fillId="0" borderId="0" xfId="0" applyNumberFormat="1" applyAlignment="1">
      <alignment wrapText="1"/>
    </xf>
    <xf numFmtId="0" fontId="2" fillId="0" borderId="0" xfId="0" applyFont="1" applyAlignment="1">
      <alignment horizontal="center" wrapText="1"/>
    </xf>
    <xf numFmtId="166" fontId="2" fillId="0" borderId="0" xfId="0" applyNumberFormat="1" applyFont="1" applyAlignment="1">
      <alignment wrapText="1"/>
    </xf>
    <xf numFmtId="0" fontId="2" fillId="6" borderId="6" xfId="0" applyFont="1" applyFill="1" applyBorder="1" applyAlignment="1">
      <alignment vertical="center" wrapText="1"/>
    </xf>
    <xf numFmtId="166" fontId="0" fillId="6" borderId="1" xfId="0" applyNumberFormat="1" applyFill="1" applyBorder="1" applyAlignment="1">
      <alignment horizontal="center"/>
    </xf>
    <xf numFmtId="166" fontId="0" fillId="6" borderId="4" xfId="0" applyNumberFormat="1" applyFill="1" applyBorder="1" applyAlignment="1">
      <alignment horizontal="center"/>
    </xf>
    <xf numFmtId="166" fontId="0" fillId="6" borderId="6" xfId="0" applyNumberFormat="1" applyFill="1" applyBorder="1" applyAlignment="1">
      <alignment horizontal="center"/>
    </xf>
    <xf numFmtId="0" fontId="10" fillId="0" borderId="0" xfId="0" applyFont="1"/>
    <xf numFmtId="0" fontId="11" fillId="0" borderId="0" xfId="0" applyFont="1"/>
    <xf numFmtId="0" fontId="2" fillId="7" borderId="6" xfId="0" applyFont="1" applyFill="1" applyBorder="1" applyAlignment="1">
      <alignment vertical="center" wrapText="1"/>
    </xf>
    <xf numFmtId="0" fontId="0" fillId="7" borderId="1" xfId="0" applyFill="1" applyBorder="1" applyAlignment="1">
      <alignment horizontal="center" wrapText="1"/>
    </xf>
    <xf numFmtId="166" fontId="0" fillId="7" borderId="1" xfId="0" applyNumberFormat="1" applyFill="1" applyBorder="1" applyAlignment="1">
      <alignment wrapText="1"/>
    </xf>
    <xf numFmtId="0" fontId="0" fillId="7" borderId="4" xfId="0" applyFill="1" applyBorder="1" applyAlignment="1">
      <alignment horizontal="center" wrapText="1"/>
    </xf>
    <xf numFmtId="166" fontId="0" fillId="7" borderId="4" xfId="0" applyNumberFormat="1" applyFill="1" applyBorder="1" applyAlignment="1">
      <alignment wrapText="1"/>
    </xf>
    <xf numFmtId="0" fontId="0" fillId="7" borderId="6" xfId="0" applyFill="1" applyBorder="1" applyAlignment="1">
      <alignment horizontal="center" wrapText="1"/>
    </xf>
    <xf numFmtId="166" fontId="0" fillId="7" borderId="6" xfId="0" applyNumberFormat="1" applyFill="1" applyBorder="1" applyAlignment="1">
      <alignment wrapText="1"/>
    </xf>
    <xf numFmtId="0" fontId="0" fillId="0" borderId="0" xfId="0" applyAlignment="1">
      <alignment wrapText="1"/>
    </xf>
    <xf numFmtId="166" fontId="0" fillId="4" borderId="4" xfId="0" applyNumberFormat="1" applyFill="1" applyBorder="1" applyAlignment="1">
      <alignment wrapText="1"/>
    </xf>
    <xf numFmtId="166" fontId="0" fillId="4" borderId="1" xfId="0" applyNumberFormat="1" applyFill="1" applyBorder="1" applyAlignment="1">
      <alignment wrapText="1"/>
    </xf>
    <xf numFmtId="166" fontId="0" fillId="4" borderId="6" xfId="0" applyNumberFormat="1" applyFill="1" applyBorder="1" applyAlignment="1">
      <alignment wrapText="1"/>
    </xf>
    <xf numFmtId="0" fontId="0" fillId="0" borderId="0" xfId="0" applyAlignment="1">
      <alignment horizontal="left" indent="2"/>
    </xf>
    <xf numFmtId="166" fontId="0" fillId="0" borderId="0" xfId="0" applyNumberFormat="1"/>
    <xf numFmtId="166" fontId="11" fillId="0" borderId="0" xfId="0" applyNumberFormat="1" applyFont="1"/>
    <xf numFmtId="0" fontId="2" fillId="0" borderId="0" xfId="0" applyFont="1" applyAlignment="1">
      <alignment horizontal="left"/>
    </xf>
    <xf numFmtId="9" fontId="0" fillId="0" borderId="0" xfId="2" applyFont="1"/>
    <xf numFmtId="0" fontId="0" fillId="0" borderId="10" xfId="0" applyBorder="1"/>
    <xf numFmtId="166" fontId="0" fillId="0" borderId="11" xfId="0" applyNumberFormat="1" applyBorder="1"/>
    <xf numFmtId="0" fontId="0" fillId="0" borderId="8" xfId="0" applyBorder="1"/>
    <xf numFmtId="166" fontId="0" fillId="0" borderId="9" xfId="0" applyNumberFormat="1" applyBorder="1"/>
    <xf numFmtId="0" fontId="2" fillId="0" borderId="4" xfId="0" applyFont="1" applyBorder="1" applyAlignment="1">
      <alignment vertical="center"/>
    </xf>
    <xf numFmtId="0" fontId="0" fillId="0" borderId="0" xfId="0" pivotButton="1"/>
    <xf numFmtId="14" fontId="0" fillId="0" borderId="0" xfId="0" applyNumberFormat="1"/>
    <xf numFmtId="14" fontId="1" fillId="0" borderId="0" xfId="0" applyNumberFormat="1" applyFont="1" applyAlignment="1">
      <alignment horizontal="left" vertical="top"/>
    </xf>
    <xf numFmtId="0" fontId="5" fillId="0" borderId="0" xfId="1" applyFill="1"/>
    <xf numFmtId="166" fontId="15" fillId="5" borderId="0" xfId="0" applyNumberFormat="1" applyFont="1" applyFill="1"/>
    <xf numFmtId="0" fontId="16" fillId="5" borderId="0" xfId="0" applyFont="1" applyFill="1"/>
    <xf numFmtId="0" fontId="15" fillId="5" borderId="0" xfId="0" applyFont="1" applyFill="1"/>
    <xf numFmtId="166" fontId="16" fillId="5" borderId="0" xfId="0" applyNumberFormat="1" applyFont="1" applyFill="1"/>
    <xf numFmtId="0" fontId="9" fillId="0" borderId="0" xfId="0" applyFont="1"/>
    <xf numFmtId="166" fontId="2" fillId="0" borderId="0" xfId="0" applyNumberFormat="1" applyFont="1"/>
    <xf numFmtId="0" fontId="2" fillId="8" borderId="0" xfId="0" applyFont="1" applyFill="1"/>
    <xf numFmtId="166" fontId="0" fillId="8" borderId="0" xfId="0" applyNumberFormat="1" applyFill="1"/>
    <xf numFmtId="166" fontId="20" fillId="0" borderId="0" xfId="1" applyNumberFormat="1" applyFont="1"/>
    <xf numFmtId="10" fontId="0" fillId="0" borderId="0" xfId="2" applyNumberFormat="1" applyFont="1"/>
    <xf numFmtId="0" fontId="17" fillId="0" borderId="0" xfId="0" applyFont="1"/>
    <xf numFmtId="0" fontId="18" fillId="0" borderId="0" xfId="0" applyFont="1"/>
    <xf numFmtId="0" fontId="0" fillId="0" borderId="22" xfId="0" applyBorder="1"/>
    <xf numFmtId="166" fontId="0" fillId="0" borderId="23" xfId="0" applyNumberFormat="1" applyBorder="1"/>
    <xf numFmtId="0" fontId="0" fillId="0" borderId="0" xfId="0" applyAlignment="1">
      <alignment horizontal="left" indent="1"/>
    </xf>
    <xf numFmtId="0" fontId="0" fillId="0" borderId="0" xfId="0" applyAlignment="1">
      <alignment horizontal="center" vertical="center" wrapText="1"/>
    </xf>
    <xf numFmtId="0" fontId="19" fillId="0" borderId="0" xfId="0" applyFont="1" applyAlignment="1">
      <alignment horizontal="center"/>
    </xf>
    <xf numFmtId="0" fontId="2" fillId="0" borderId="24" xfId="0" applyFont="1" applyBorder="1"/>
    <xf numFmtId="166" fontId="0" fillId="0" borderId="24" xfId="3" applyNumberFormat="1" applyFont="1" applyBorder="1"/>
    <xf numFmtId="0" fontId="23" fillId="0" borderId="0" xfId="0" applyFont="1"/>
    <xf numFmtId="0" fontId="24" fillId="0" borderId="0" xfId="0" applyFont="1" applyAlignment="1">
      <alignment horizontal="left" indent="1"/>
    </xf>
    <xf numFmtId="0" fontId="14" fillId="0" borderId="0" xfId="0" applyFont="1" applyAlignment="1">
      <alignment vertical="center" wrapText="1"/>
    </xf>
    <xf numFmtId="167" fontId="2" fillId="0" borderId="0" xfId="0" applyNumberFormat="1" applyFont="1"/>
    <xf numFmtId="0" fontId="14" fillId="0" borderId="0" xfId="0" applyFont="1" applyAlignment="1">
      <alignment horizontal="left" vertical="center" wrapText="1"/>
    </xf>
    <xf numFmtId="0" fontId="14" fillId="9" borderId="26" xfId="0" applyFont="1" applyFill="1" applyBorder="1" applyAlignment="1">
      <alignment horizontal="left" vertical="center" wrapText="1"/>
    </xf>
    <xf numFmtId="0" fontId="14" fillId="9" borderId="27" xfId="0" applyFont="1" applyFill="1" applyBorder="1" applyAlignment="1">
      <alignment vertical="center" wrapText="1"/>
    </xf>
    <xf numFmtId="0" fontId="14" fillId="9" borderId="28" xfId="0" applyFont="1" applyFill="1" applyBorder="1" applyAlignment="1">
      <alignment vertical="center" wrapText="1"/>
    </xf>
    <xf numFmtId="166" fontId="0" fillId="8" borderId="24" xfId="0" applyNumberFormat="1" applyFill="1" applyBorder="1"/>
    <xf numFmtId="168" fontId="1" fillId="0" borderId="0" xfId="0" applyNumberFormat="1" applyFont="1" applyAlignment="1">
      <alignment horizontal="left" vertical="top"/>
    </xf>
    <xf numFmtId="167" fontId="2" fillId="0" borderId="0" xfId="0" applyNumberFormat="1" applyFont="1" applyAlignment="1">
      <alignment wrapText="1"/>
    </xf>
    <xf numFmtId="167" fontId="2" fillId="0" borderId="0" xfId="0" applyNumberFormat="1" applyFont="1" applyAlignment="1">
      <alignment horizontal="center" vertical="center" wrapText="1"/>
    </xf>
    <xf numFmtId="167" fontId="2" fillId="0" borderId="0" xfId="0" applyNumberFormat="1" applyFont="1" applyAlignment="1">
      <alignment horizontal="center"/>
    </xf>
    <xf numFmtId="167" fontId="2" fillId="9" borderId="10" xfId="0" applyNumberFormat="1" applyFont="1" applyFill="1" applyBorder="1" applyAlignment="1">
      <alignment horizontal="center" vertical="center" wrapText="1"/>
    </xf>
    <xf numFmtId="167" fontId="2" fillId="9" borderId="29" xfId="0" applyNumberFormat="1" applyFont="1" applyFill="1" applyBorder="1" applyAlignment="1">
      <alignment horizontal="center" vertical="center" wrapText="1"/>
    </xf>
    <xf numFmtId="167" fontId="2" fillId="9" borderId="12" xfId="0" applyNumberFormat="1" applyFont="1" applyFill="1" applyBorder="1" applyAlignment="1">
      <alignment horizontal="center"/>
    </xf>
    <xf numFmtId="167" fontId="2" fillId="9" borderId="33" xfId="0" applyNumberFormat="1" applyFont="1" applyFill="1" applyBorder="1" applyAlignment="1">
      <alignment horizontal="center"/>
    </xf>
    <xf numFmtId="0" fontId="14" fillId="0" borderId="0" xfId="0" applyFont="1"/>
    <xf numFmtId="0" fontId="28" fillId="0" borderId="0" xfId="0" applyFont="1"/>
    <xf numFmtId="0" fontId="30" fillId="0" borderId="0" xfId="0" applyFont="1"/>
    <xf numFmtId="0" fontId="13" fillId="0" borderId="0" xfId="0" applyFont="1"/>
    <xf numFmtId="14" fontId="13" fillId="0" borderId="0" xfId="0" applyNumberFormat="1" applyFont="1"/>
    <xf numFmtId="0" fontId="13" fillId="9" borderId="0" xfId="0" applyFont="1" applyFill="1"/>
    <xf numFmtId="0" fontId="0" fillId="9" borderId="11" xfId="0" applyFill="1" applyBorder="1"/>
    <xf numFmtId="0" fontId="0" fillId="9" borderId="12" xfId="0" applyFill="1" applyBorder="1"/>
    <xf numFmtId="0" fontId="0" fillId="9" borderId="35" xfId="0" applyFill="1" applyBorder="1"/>
    <xf numFmtId="0" fontId="14" fillId="9" borderId="35" xfId="0" applyFont="1" applyFill="1" applyBorder="1"/>
    <xf numFmtId="0" fontId="0" fillId="9" borderId="13" xfId="0" applyFill="1" applyBorder="1"/>
    <xf numFmtId="0" fontId="13" fillId="9" borderId="10" xfId="0" applyFont="1" applyFill="1" applyBorder="1"/>
    <xf numFmtId="0" fontId="31" fillId="0" borderId="0" xfId="0" applyFont="1"/>
    <xf numFmtId="49" fontId="31" fillId="0" borderId="0" xfId="0" applyNumberFormat="1" applyFont="1" applyAlignment="1">
      <alignment horizontal="right"/>
    </xf>
    <xf numFmtId="14" fontId="31" fillId="0" borderId="0" xfId="0" applyNumberFormat="1" applyFont="1"/>
    <xf numFmtId="0" fontId="0" fillId="0" borderId="0" xfId="0" applyAlignment="1">
      <alignment horizontal="left" wrapText="1"/>
    </xf>
    <xf numFmtId="0" fontId="32" fillId="0" borderId="0" xfId="1" applyFont="1"/>
    <xf numFmtId="0" fontId="14" fillId="0" borderId="0" xfId="0" applyFont="1" applyAlignment="1">
      <alignment horizontal="left" indent="2"/>
    </xf>
    <xf numFmtId="0" fontId="14" fillId="0" borderId="0" xfId="0" applyFont="1" applyAlignment="1">
      <alignment wrapText="1"/>
    </xf>
    <xf numFmtId="0" fontId="0" fillId="0" borderId="15" xfId="0" applyBorder="1"/>
    <xf numFmtId="0" fontId="0" fillId="0" borderId="3" xfId="0" applyBorder="1"/>
    <xf numFmtId="0" fontId="32" fillId="0" borderId="0" xfId="1" applyFont="1" applyBorder="1"/>
    <xf numFmtId="0" fontId="0" fillId="0" borderId="15" xfId="0" applyBorder="1" applyAlignment="1">
      <alignment horizontal="left"/>
    </xf>
    <xf numFmtId="0" fontId="0" fillId="0" borderId="36" xfId="0" applyBorder="1"/>
    <xf numFmtId="0" fontId="0" fillId="0" borderId="5" xfId="0" applyBorder="1"/>
    <xf numFmtId="0" fontId="13" fillId="5" borderId="0" xfId="0" applyFont="1" applyFill="1"/>
    <xf numFmtId="0" fontId="14" fillId="5" borderId="0" xfId="0" applyFont="1" applyFill="1"/>
    <xf numFmtId="0" fontId="32" fillId="5" borderId="0" xfId="1" applyFont="1" applyFill="1"/>
    <xf numFmtId="0" fontId="14" fillId="5" borderId="0" xfId="0" applyFont="1" applyFill="1" applyAlignment="1">
      <alignment wrapText="1"/>
    </xf>
    <xf numFmtId="0" fontId="14" fillId="12" borderId="24" xfId="0" applyFont="1" applyFill="1" applyBorder="1"/>
    <xf numFmtId="0" fontId="2" fillId="9" borderId="17" xfId="0" applyFont="1" applyFill="1" applyBorder="1" applyAlignment="1">
      <alignment horizontal="center"/>
    </xf>
    <xf numFmtId="0" fontId="2" fillId="9" borderId="36" xfId="0" applyFont="1" applyFill="1" applyBorder="1" applyAlignment="1">
      <alignment horizontal="center"/>
    </xf>
    <xf numFmtId="166" fontId="2" fillId="9" borderId="18" xfId="0" applyNumberFormat="1" applyFont="1" applyFill="1" applyBorder="1" applyAlignment="1">
      <alignment horizontal="center"/>
    </xf>
    <xf numFmtId="166" fontId="2" fillId="9" borderId="5" xfId="0" applyNumberFormat="1" applyFont="1" applyFill="1" applyBorder="1" applyAlignment="1">
      <alignment horizontal="center"/>
    </xf>
    <xf numFmtId="0" fontId="0" fillId="0" borderId="37" xfId="0" applyBorder="1"/>
    <xf numFmtId="0" fontId="2" fillId="9" borderId="36" xfId="0" applyFont="1" applyFill="1" applyBorder="1"/>
    <xf numFmtId="166" fontId="0" fillId="0" borderId="39" xfId="0" applyNumberFormat="1" applyBorder="1"/>
    <xf numFmtId="166" fontId="0" fillId="0" borderId="3" xfId="0" applyNumberFormat="1" applyBorder="1"/>
    <xf numFmtId="0" fontId="0" fillId="0" borderId="40" xfId="0" applyBorder="1"/>
    <xf numFmtId="166" fontId="0" fillId="0" borderId="41" xfId="0" applyNumberFormat="1" applyBorder="1"/>
    <xf numFmtId="0" fontId="2" fillId="0" borderId="0" xfId="2" applyNumberFormat="1" applyFont="1" applyFill="1"/>
    <xf numFmtId="0" fontId="4" fillId="0" borderId="0" xfId="0" quotePrefix="1" applyFont="1" applyAlignment="1">
      <alignment horizontal="left" indent="1"/>
    </xf>
    <xf numFmtId="0" fontId="14" fillId="0" borderId="38" xfId="0" applyFont="1" applyBorder="1"/>
    <xf numFmtId="0" fontId="14" fillId="0" borderId="15" xfId="0" applyFont="1" applyBorder="1"/>
    <xf numFmtId="166" fontId="14" fillId="0" borderId="0" xfId="0" applyNumberFormat="1" applyFont="1"/>
    <xf numFmtId="14" fontId="14" fillId="0" borderId="0" xfId="0" applyNumberFormat="1" applyFont="1"/>
    <xf numFmtId="0" fontId="14" fillId="13" borderId="44" xfId="2" applyNumberFormat="1" applyFont="1" applyFill="1" applyBorder="1"/>
    <xf numFmtId="0" fontId="9" fillId="13" borderId="46" xfId="0" applyFont="1" applyFill="1" applyBorder="1" applyAlignment="1">
      <alignment horizontal="center"/>
    </xf>
    <xf numFmtId="0" fontId="0" fillId="13" borderId="47" xfId="0" applyFill="1" applyBorder="1"/>
    <xf numFmtId="0" fontId="14" fillId="13" borderId="48" xfId="0" applyFont="1" applyFill="1" applyBorder="1"/>
    <xf numFmtId="0" fontId="0" fillId="13" borderId="49" xfId="0" applyFill="1" applyBorder="1"/>
    <xf numFmtId="0" fontId="2" fillId="13" borderId="50" xfId="0" applyFont="1" applyFill="1" applyBorder="1"/>
    <xf numFmtId="0" fontId="14" fillId="13" borderId="35" xfId="0" quotePrefix="1" applyFont="1" applyFill="1" applyBorder="1"/>
    <xf numFmtId="166" fontId="14" fillId="13" borderId="9" xfId="0" applyNumberFormat="1" applyFont="1" applyFill="1" applyBorder="1"/>
    <xf numFmtId="0" fontId="14" fillId="13" borderId="13" xfId="2" applyNumberFormat="1" applyFont="1" applyFill="1" applyBorder="1"/>
    <xf numFmtId="0" fontId="14" fillId="13" borderId="0" xfId="0" quotePrefix="1" applyFont="1" applyFill="1"/>
    <xf numFmtId="0" fontId="14" fillId="13" borderId="35" xfId="0" applyFont="1" applyFill="1" applyBorder="1"/>
    <xf numFmtId="0" fontId="14" fillId="13" borderId="12" xfId="0" applyFont="1" applyFill="1" applyBorder="1"/>
    <xf numFmtId="0" fontId="14" fillId="13" borderId="8" xfId="0" quotePrefix="1" applyFont="1" applyFill="1" applyBorder="1"/>
    <xf numFmtId="0" fontId="0" fillId="13" borderId="0" xfId="0" quotePrefix="1" applyFill="1"/>
    <xf numFmtId="166" fontId="14" fillId="13" borderId="54" xfId="0" applyNumberFormat="1" applyFont="1" applyFill="1" applyBorder="1"/>
    <xf numFmtId="0" fontId="34" fillId="0" borderId="0" xfId="0" applyFont="1"/>
    <xf numFmtId="0" fontId="0" fillId="5" borderId="0" xfId="0" applyFill="1"/>
    <xf numFmtId="169" fontId="0" fillId="0" borderId="0" xfId="0" applyNumberFormat="1"/>
    <xf numFmtId="0" fontId="35" fillId="0" borderId="0" xfId="0" applyFont="1"/>
    <xf numFmtId="0" fontId="5" fillId="0" borderId="0" xfId="1"/>
    <xf numFmtId="0" fontId="2" fillId="0" borderId="7" xfId="0" applyFont="1" applyBorder="1" applyAlignment="1">
      <alignment vertical="center"/>
    </xf>
    <xf numFmtId="0" fontId="0" fillId="0" borderId="14" xfId="0" applyBorder="1"/>
    <xf numFmtId="0" fontId="0" fillId="0" borderId="2" xfId="0" applyBorder="1"/>
    <xf numFmtId="0" fontId="0" fillId="0" borderId="56" xfId="0" applyBorder="1"/>
    <xf numFmtId="0" fontId="0" fillId="0" borderId="7" xfId="0" applyBorder="1"/>
    <xf numFmtId="0" fontId="2" fillId="0" borderId="56" xfId="0" applyFont="1" applyBorder="1" applyAlignment="1">
      <alignment vertical="center"/>
    </xf>
    <xf numFmtId="0" fontId="36" fillId="14" borderId="57" xfId="0" applyFont="1" applyFill="1" applyBorder="1" applyAlignment="1">
      <alignment horizontal="right"/>
    </xf>
    <xf numFmtId="0" fontId="37" fillId="15" borderId="58" xfId="0" applyFont="1" applyFill="1" applyBorder="1" applyAlignment="1">
      <alignment horizontal="right" wrapText="1"/>
    </xf>
    <xf numFmtId="0" fontId="38" fillId="16" borderId="58" xfId="0" applyFont="1" applyFill="1" applyBorder="1" applyAlignment="1">
      <alignment horizontal="right" wrapText="1"/>
    </xf>
    <xf numFmtId="169" fontId="39" fillId="17" borderId="59" xfId="0" applyNumberFormat="1" applyFont="1" applyFill="1" applyBorder="1" applyAlignment="1">
      <alignment horizontal="right"/>
    </xf>
    <xf numFmtId="49" fontId="40" fillId="20" borderId="58" xfId="0" applyNumberFormat="1" applyFont="1" applyFill="1" applyBorder="1" applyAlignment="1">
      <alignment horizontal="right"/>
    </xf>
    <xf numFmtId="0" fontId="41" fillId="20" borderId="58" xfId="0" applyFont="1" applyFill="1" applyBorder="1" applyAlignment="1">
      <alignment horizontal="right" wrapText="1"/>
    </xf>
    <xf numFmtId="0" fontId="42" fillId="21" borderId="58" xfId="0" applyFont="1" applyFill="1" applyBorder="1" applyAlignment="1">
      <alignment horizontal="right"/>
    </xf>
    <xf numFmtId="170" fontId="39" fillId="18" borderId="59" xfId="0" applyNumberFormat="1" applyFont="1" applyFill="1" applyBorder="1" applyAlignment="1">
      <alignment horizontal="right"/>
    </xf>
    <xf numFmtId="170" fontId="39" fillId="19" borderId="58" xfId="0" applyNumberFormat="1" applyFont="1" applyFill="1" applyBorder="1" applyAlignment="1">
      <alignment horizontal="right"/>
    </xf>
    <xf numFmtId="14" fontId="40" fillId="22" borderId="59" xfId="0" applyNumberFormat="1" applyFont="1" applyFill="1" applyBorder="1" applyAlignment="1">
      <alignment horizontal="right"/>
    </xf>
    <xf numFmtId="14" fontId="40" fillId="22" borderId="58" xfId="0" applyNumberFormat="1" applyFont="1" applyFill="1" applyBorder="1" applyAlignment="1">
      <alignment horizontal="right"/>
    </xf>
    <xf numFmtId="0" fontId="42" fillId="23" borderId="58" xfId="0" applyFont="1" applyFill="1" applyBorder="1" applyAlignment="1">
      <alignment horizontal="right"/>
    </xf>
    <xf numFmtId="0" fontId="40" fillId="24" borderId="59" xfId="0" applyFont="1" applyFill="1" applyBorder="1" applyAlignment="1">
      <alignment horizontal="right"/>
    </xf>
    <xf numFmtId="0" fontId="40" fillId="24" borderId="60" xfId="0" applyFont="1" applyFill="1" applyBorder="1" applyAlignment="1">
      <alignment horizontal="right"/>
    </xf>
    <xf numFmtId="0" fontId="2" fillId="9" borderId="30" xfId="0" applyFont="1" applyFill="1" applyBorder="1" applyAlignment="1">
      <alignment vertical="center"/>
    </xf>
    <xf numFmtId="0" fontId="2" fillId="9" borderId="31" xfId="0" applyFont="1" applyFill="1" applyBorder="1" applyAlignment="1">
      <alignment vertical="center"/>
    </xf>
    <xf numFmtId="0" fontId="2" fillId="9" borderId="32" xfId="0" applyFont="1" applyFill="1" applyBorder="1" applyAlignment="1">
      <alignment vertical="center"/>
    </xf>
    <xf numFmtId="0" fontId="11" fillId="25" borderId="0" xfId="0" applyFont="1" applyFill="1"/>
    <xf numFmtId="0" fontId="0" fillId="25" borderId="0" xfId="0" applyFill="1"/>
    <xf numFmtId="17" fontId="0" fillId="0" borderId="0" xfId="0" applyNumberFormat="1"/>
    <xf numFmtId="1" fontId="0" fillId="0" borderId="0" xfId="0" applyNumberFormat="1"/>
    <xf numFmtId="1" fontId="0" fillId="8" borderId="0" xfId="0" applyNumberFormat="1" applyFill="1"/>
    <xf numFmtId="167" fontId="0" fillId="0" borderId="0" xfId="0" applyNumberFormat="1"/>
    <xf numFmtId="167" fontId="0" fillId="0" borderId="0" xfId="0" applyNumberFormat="1" applyAlignment="1">
      <alignment wrapText="1"/>
    </xf>
    <xf numFmtId="0" fontId="0" fillId="0" borderId="0" xfId="0" pivotButton="1" applyAlignment="1">
      <alignment wrapText="1"/>
    </xf>
    <xf numFmtId="0" fontId="2" fillId="6" borderId="56" xfId="0" applyFont="1" applyFill="1" applyBorder="1" applyAlignment="1">
      <alignment vertical="center" wrapText="1"/>
    </xf>
    <xf numFmtId="0" fontId="2" fillId="4" borderId="7" xfId="0" applyFont="1" applyFill="1" applyBorder="1" applyAlignment="1">
      <alignment vertical="center" wrapText="1"/>
    </xf>
    <xf numFmtId="0" fontId="0" fillId="6" borderId="14" xfId="0" applyFill="1" applyBorder="1" applyAlignment="1">
      <alignment horizontal="center"/>
    </xf>
    <xf numFmtId="0" fontId="0" fillId="4" borderId="0" xfId="0" applyFill="1" applyAlignment="1">
      <alignment horizontal="center" wrapText="1"/>
    </xf>
    <xf numFmtId="166" fontId="0" fillId="4" borderId="0" xfId="0" applyNumberFormat="1" applyFill="1" applyAlignment="1">
      <alignment wrapText="1"/>
    </xf>
    <xf numFmtId="166" fontId="0" fillId="4" borderId="2" xfId="0" applyNumberFormat="1" applyFill="1" applyBorder="1" applyAlignment="1">
      <alignment wrapText="1"/>
    </xf>
    <xf numFmtId="0" fontId="0" fillId="6" borderId="15" xfId="0" applyFill="1" applyBorder="1" applyAlignment="1">
      <alignment horizontal="center"/>
    </xf>
    <xf numFmtId="166" fontId="0" fillId="6" borderId="0" xfId="0" applyNumberFormat="1" applyFill="1" applyAlignment="1">
      <alignment horizontal="center"/>
    </xf>
    <xf numFmtId="0" fontId="0" fillId="3" borderId="0" xfId="0" applyFill="1" applyAlignment="1">
      <alignment horizontal="center" wrapText="1"/>
    </xf>
    <xf numFmtId="166" fontId="0" fillId="3" borderId="0" xfId="0" applyNumberFormat="1" applyFill="1" applyAlignment="1">
      <alignment wrapText="1"/>
    </xf>
    <xf numFmtId="0" fontId="0" fillId="2" borderId="0" xfId="0" applyFill="1" applyAlignment="1">
      <alignment horizontal="center" wrapText="1"/>
    </xf>
    <xf numFmtId="166" fontId="0" fillId="2" borderId="0" xfId="0" applyNumberFormat="1" applyFill="1" applyAlignment="1">
      <alignment wrapText="1"/>
    </xf>
    <xf numFmtId="0" fontId="0" fillId="7" borderId="0" xfId="0" applyFill="1" applyAlignment="1">
      <alignment horizontal="center" wrapText="1"/>
    </xf>
    <xf numFmtId="166" fontId="0" fillId="7" borderId="0" xfId="0" applyNumberFormat="1" applyFill="1" applyAlignment="1">
      <alignment wrapText="1"/>
    </xf>
    <xf numFmtId="166" fontId="0" fillId="4" borderId="3" xfId="0" applyNumberFormat="1" applyFill="1" applyBorder="1" applyAlignment="1">
      <alignment wrapText="1"/>
    </xf>
    <xf numFmtId="0" fontId="0" fillId="6" borderId="36" xfId="0" applyFill="1" applyBorder="1" applyAlignment="1">
      <alignment horizontal="center"/>
    </xf>
    <xf numFmtId="166" fontId="0" fillId="4" borderId="5" xfId="0" applyNumberFormat="1" applyFill="1" applyBorder="1" applyAlignment="1">
      <alignment wrapText="1"/>
    </xf>
    <xf numFmtId="0" fontId="0" fillId="6" borderId="56" xfId="0" applyFill="1" applyBorder="1" applyAlignment="1">
      <alignment horizontal="center"/>
    </xf>
    <xf numFmtId="166" fontId="0" fillId="4" borderId="7" xfId="0" applyNumberFormat="1" applyFill="1" applyBorder="1" applyAlignment="1">
      <alignment wrapText="1"/>
    </xf>
    <xf numFmtId="0" fontId="2" fillId="0" borderId="61" xfId="0" applyFont="1" applyBorder="1" applyAlignment="1">
      <alignment vertical="center"/>
    </xf>
    <xf numFmtId="167" fontId="2" fillId="0" borderId="61" xfId="0" applyNumberFormat="1" applyFont="1" applyBorder="1" applyAlignment="1">
      <alignment horizontal="center" vertical="center" wrapText="1"/>
    </xf>
    <xf numFmtId="167" fontId="2" fillId="0" borderId="61" xfId="0" applyNumberFormat="1" applyFont="1" applyBorder="1" applyAlignment="1">
      <alignment horizontal="center"/>
    </xf>
    <xf numFmtId="0" fontId="14" fillId="9" borderId="62" xfId="0" applyFont="1" applyFill="1" applyBorder="1" applyAlignment="1">
      <alignment horizontal="left" vertical="center" wrapText="1"/>
    </xf>
    <xf numFmtId="0" fontId="14" fillId="9" borderId="63" xfId="0" applyFont="1" applyFill="1" applyBorder="1" applyAlignment="1">
      <alignment vertical="center" wrapText="1"/>
    </xf>
    <xf numFmtId="0" fontId="0" fillId="0" borderId="0" xfId="0" applyAlignment="1">
      <alignment horizontal="left" wrapText="1"/>
    </xf>
    <xf numFmtId="0" fontId="28" fillId="9" borderId="8" xfId="0" applyFont="1" applyFill="1" applyBorder="1" applyAlignment="1">
      <alignment horizontal="center"/>
    </xf>
    <xf numFmtId="0" fontId="28" fillId="9" borderId="34" xfId="0" applyFont="1" applyFill="1" applyBorder="1" applyAlignment="1">
      <alignment horizontal="center"/>
    </xf>
    <xf numFmtId="0" fontId="28" fillId="9" borderId="9" xfId="0" applyFont="1" applyFill="1" applyBorder="1" applyAlignment="1">
      <alignment horizontal="center"/>
    </xf>
    <xf numFmtId="0" fontId="2" fillId="8" borderId="14" xfId="0" applyFont="1" applyFill="1" applyBorder="1" applyAlignment="1">
      <alignment horizontal="center"/>
    </xf>
    <xf numFmtId="0" fontId="2" fillId="8" borderId="1" xfId="0" applyFont="1" applyFill="1" applyBorder="1" applyAlignment="1">
      <alignment horizontal="center"/>
    </xf>
    <xf numFmtId="0" fontId="2" fillId="8" borderId="2" xfId="0" applyFont="1" applyFill="1" applyBorder="1" applyAlignment="1">
      <alignment horizontal="center"/>
    </xf>
    <xf numFmtId="0" fontId="2" fillId="11" borderId="14" xfId="0" applyFont="1" applyFill="1" applyBorder="1" applyAlignment="1">
      <alignment horizontal="center"/>
    </xf>
    <xf numFmtId="0" fontId="2" fillId="11" borderId="1" xfId="0" applyFont="1" applyFill="1" applyBorder="1" applyAlignment="1">
      <alignment horizontal="center"/>
    </xf>
    <xf numFmtId="0" fontId="2" fillId="11" borderId="2" xfId="0" applyFont="1" applyFill="1" applyBorder="1" applyAlignment="1">
      <alignment horizontal="center"/>
    </xf>
    <xf numFmtId="0" fontId="9" fillId="5" borderId="4" xfId="0" applyFont="1" applyFill="1" applyBorder="1" applyAlignment="1">
      <alignment horizontal="center"/>
    </xf>
    <xf numFmtId="0" fontId="14" fillId="9" borderId="26" xfId="0" applyFont="1" applyFill="1" applyBorder="1" applyAlignment="1">
      <alignment horizontal="left" vertical="center" wrapText="1"/>
    </xf>
    <xf numFmtId="0" fontId="0" fillId="0" borderId="0" xfId="0" applyAlignment="1">
      <alignment horizontal="center" vertical="center" wrapText="1"/>
    </xf>
    <xf numFmtId="0" fontId="19" fillId="0" borderId="0" xfId="0" applyFont="1" applyAlignment="1">
      <alignment horizontal="center"/>
    </xf>
    <xf numFmtId="0" fontId="13" fillId="10" borderId="21" xfId="0" applyFont="1" applyFill="1" applyBorder="1" applyAlignment="1">
      <alignment horizontal="center"/>
    </xf>
    <xf numFmtId="0" fontId="13" fillId="10" borderId="25" xfId="0" applyFont="1" applyFill="1" applyBorder="1" applyAlignment="1">
      <alignment horizontal="center"/>
    </xf>
    <xf numFmtId="0" fontId="2" fillId="9" borderId="14" xfId="0" applyFont="1" applyFill="1" applyBorder="1" applyAlignment="1">
      <alignment horizontal="center"/>
    </xf>
    <xf numFmtId="0" fontId="2" fillId="9" borderId="19" xfId="0" applyFont="1" applyFill="1" applyBorder="1" applyAlignment="1">
      <alignment horizontal="center"/>
    </xf>
    <xf numFmtId="10" fontId="14" fillId="0" borderId="15" xfId="2" applyNumberFormat="1" applyFont="1" applyBorder="1" applyAlignment="1">
      <alignment horizontal="center"/>
    </xf>
    <xf numFmtId="10" fontId="14" fillId="0" borderId="11" xfId="2" applyNumberFormat="1" applyFont="1" applyBorder="1" applyAlignment="1">
      <alignment horizontal="center"/>
    </xf>
    <xf numFmtId="10" fontId="14" fillId="0" borderId="10" xfId="2" applyNumberFormat="1" applyFont="1" applyBorder="1" applyAlignment="1">
      <alignment horizontal="center"/>
    </xf>
    <xf numFmtId="10" fontId="14" fillId="0" borderId="3" xfId="2" applyNumberFormat="1" applyFont="1" applyBorder="1" applyAlignment="1">
      <alignment horizontal="center"/>
    </xf>
    <xf numFmtId="0" fontId="14" fillId="0" borderId="12" xfId="0" applyFont="1" applyBorder="1" applyAlignment="1">
      <alignment horizontal="center"/>
    </xf>
    <xf numFmtId="0" fontId="14" fillId="0" borderId="16" xfId="0" applyFont="1" applyBorder="1" applyAlignment="1">
      <alignment horizontal="center"/>
    </xf>
    <xf numFmtId="0" fontId="2" fillId="9" borderId="20" xfId="0" applyFont="1" applyFill="1" applyBorder="1" applyAlignment="1">
      <alignment horizontal="center"/>
    </xf>
    <xf numFmtId="0" fontId="2" fillId="9" borderId="2" xfId="0" applyFont="1" applyFill="1" applyBorder="1" applyAlignment="1">
      <alignment horizontal="center"/>
    </xf>
    <xf numFmtId="0" fontId="14" fillId="0" borderId="13" xfId="0" applyFont="1" applyBorder="1" applyAlignment="1">
      <alignment horizontal="center"/>
    </xf>
    <xf numFmtId="0" fontId="14" fillId="0" borderId="38" xfId="0" applyFont="1" applyBorder="1" applyAlignment="1">
      <alignment horizontal="center"/>
    </xf>
    <xf numFmtId="0" fontId="2" fillId="13" borderId="55" xfId="2" applyNumberFormat="1" applyFont="1" applyFill="1" applyBorder="1" applyAlignment="1">
      <alignment horizontal="center"/>
    </xf>
    <xf numFmtId="0" fontId="2" fillId="13" borderId="51" xfId="2" applyNumberFormat="1" applyFont="1" applyFill="1" applyBorder="1" applyAlignment="1">
      <alignment horizontal="center"/>
    </xf>
    <xf numFmtId="0" fontId="2" fillId="13" borderId="52" xfId="2" applyNumberFormat="1" applyFont="1" applyFill="1" applyBorder="1" applyAlignment="1">
      <alignment horizontal="center"/>
    </xf>
    <xf numFmtId="166" fontId="2" fillId="13" borderId="45" xfId="0" applyNumberFormat="1" applyFont="1" applyFill="1" applyBorder="1" applyAlignment="1">
      <alignment horizontal="center"/>
    </xf>
    <xf numFmtId="166" fontId="2" fillId="13" borderId="42" xfId="0" applyNumberFormat="1" applyFont="1" applyFill="1" applyBorder="1" applyAlignment="1">
      <alignment horizontal="center"/>
    </xf>
    <xf numFmtId="0" fontId="2" fillId="9" borderId="17" xfId="0" applyFont="1" applyFill="1" applyBorder="1" applyAlignment="1">
      <alignment horizontal="center"/>
    </xf>
    <xf numFmtId="0" fontId="2" fillId="9" borderId="18" xfId="0" applyFont="1" applyFill="1" applyBorder="1" applyAlignment="1">
      <alignment horizontal="center"/>
    </xf>
    <xf numFmtId="166" fontId="2" fillId="13" borderId="53" xfId="0" applyNumberFormat="1" applyFont="1" applyFill="1" applyBorder="1" applyAlignment="1">
      <alignment horizontal="center"/>
    </xf>
    <xf numFmtId="166" fontId="2" fillId="13" borderId="43" xfId="0" applyNumberFormat="1" applyFont="1" applyFill="1" applyBorder="1" applyAlignment="1">
      <alignment horizontal="center"/>
    </xf>
    <xf numFmtId="0" fontId="2" fillId="9" borderId="5" xfId="0" applyFont="1" applyFill="1" applyBorder="1" applyAlignment="1">
      <alignment horizontal="center"/>
    </xf>
    <xf numFmtId="0" fontId="2" fillId="9" borderId="36" xfId="0" applyFont="1" applyFill="1" applyBorder="1" applyAlignment="1">
      <alignment horizontal="center"/>
    </xf>
    <xf numFmtId="0" fontId="25" fillId="5" borderId="0" xfId="0" applyFont="1" applyFill="1" applyAlignment="1">
      <alignment horizontal="center"/>
    </xf>
    <xf numFmtId="0" fontId="0" fillId="0" borderId="8" xfId="0" applyBorder="1" applyAlignment="1">
      <alignment horizontal="center" vertical="center" wrapText="1"/>
    </xf>
    <xf numFmtId="0" fontId="0" fillId="0" borderId="10" xfId="0" applyBorder="1" applyAlignment="1">
      <alignment horizontal="center" vertical="center" wrapText="1"/>
    </xf>
    <xf numFmtId="0" fontId="0" fillId="0" borderId="12" xfId="0" applyBorder="1" applyAlignment="1">
      <alignment horizontal="center" vertical="center" wrapText="1"/>
    </xf>
    <xf numFmtId="0" fontId="0" fillId="0" borderId="8" xfId="0" applyBorder="1" applyAlignment="1">
      <alignment horizontal="center" vertical="center"/>
    </xf>
    <xf numFmtId="0" fontId="0" fillId="0" borderId="12" xfId="0" applyBorder="1" applyAlignment="1">
      <alignment horizontal="center" vertical="center"/>
    </xf>
    <xf numFmtId="0" fontId="2" fillId="0" borderId="0" xfId="0" applyFont="1" applyAlignment="1">
      <alignment horizontal="center"/>
    </xf>
  </cellXfs>
  <cellStyles count="4">
    <cellStyle name="Currency" xfId="3" builtinId="4"/>
    <cellStyle name="Hyperlink" xfId="1" builtinId="8"/>
    <cellStyle name="Normal" xfId="0" builtinId="0"/>
    <cellStyle name="Percent" xfId="2" builtinId="5"/>
  </cellStyles>
  <dxfs count="88">
    <dxf>
      <border outline="0">
        <top style="medium">
          <color indexed="64"/>
        </top>
        <bottom style="medium">
          <color indexed="64"/>
        </bottom>
      </border>
    </dxf>
    <dxf>
      <border outline="0">
        <bottom style="medium">
          <color indexed="64"/>
        </bottom>
      </border>
    </dxf>
    <dxf>
      <font>
        <b/>
        <i val="0"/>
        <strike val="0"/>
        <condense val="0"/>
        <extend val="0"/>
        <outline val="0"/>
        <shadow val="0"/>
        <u val="none"/>
        <vertAlign val="baseline"/>
        <sz val="11"/>
        <color indexed="8"/>
        <name val="Aptos Narrow"/>
        <family val="2"/>
        <scheme val="minor"/>
      </font>
      <alignment horizontal="general" vertical="center" textRotation="0" wrapText="0" indent="0" justifyLastLine="0" shrinkToFit="0" readingOrder="0"/>
    </dxf>
    <dxf>
      <numFmt numFmtId="19" formatCode="dd/mm/yyyy"/>
    </dxf>
    <dxf>
      <numFmt numFmtId="19" formatCode="dd/mm/yyyy"/>
    </dxf>
    <dxf>
      <numFmt numFmtId="19" formatCode="dd/mm/yyyy"/>
    </dxf>
    <dxf>
      <numFmt numFmtId="19" formatCode="dd/mm/yyyy"/>
    </dxf>
    <dxf>
      <numFmt numFmtId="19" formatCode="dd/mm/yyyy"/>
    </dxf>
    <dxf>
      <numFmt numFmtId="19" formatCode="dd/mm/yyyy"/>
    </dxf>
    <dxf>
      <numFmt numFmtId="19" formatCode="dd/mm/yyyy"/>
    </dxf>
    <dxf>
      <numFmt numFmtId="19" formatCode="dd/mm/yyyy"/>
    </dxf>
    <dxf>
      <numFmt numFmtId="19" formatCode="dd/mm/yyyy"/>
    </dxf>
    <dxf>
      <numFmt numFmtId="0" formatCode="General"/>
    </dxf>
    <dxf>
      <font>
        <b val="0"/>
        <i val="0"/>
        <strike val="0"/>
        <condense val="0"/>
        <extend val="0"/>
        <outline val="0"/>
        <shadow val="0"/>
        <u val="none"/>
        <vertAlign val="baseline"/>
        <sz val="10"/>
        <color auto="1"/>
        <name val="Sylfaen"/>
        <family val="1"/>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Sylfaen"/>
        <family val="1"/>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Sylfaen"/>
        <family val="1"/>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Sylfaen"/>
        <family val="1"/>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Sylfaen"/>
        <family val="1"/>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Sylfaen"/>
        <family val="1"/>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Sylfaen"/>
        <family val="1"/>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Sylfaen"/>
        <family val="1"/>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Sylfaen"/>
        <family val="1"/>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Sylfaen"/>
        <family val="1"/>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Sylfaen"/>
        <family val="1"/>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Sylfaen"/>
        <family val="1"/>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Sylfaen"/>
        <family val="1"/>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Sylfaen"/>
        <family val="1"/>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Sylfaen"/>
        <family val="1"/>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Sylfaen"/>
        <family val="1"/>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Sylfaen"/>
        <family val="1"/>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Sylfaen"/>
        <family val="1"/>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Sylfaen"/>
        <family val="1"/>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Sylfaen"/>
        <family val="1"/>
        <scheme val="none"/>
      </font>
      <numFmt numFmtId="2" formatCode="0.00"/>
      <alignment horizontal="left" vertical="top" textRotation="0" wrapText="0" indent="0" justifyLastLine="0" shrinkToFit="0" readingOrder="0"/>
    </dxf>
    <dxf>
      <font>
        <b val="0"/>
        <i val="0"/>
        <strike val="0"/>
        <condense val="0"/>
        <extend val="0"/>
        <outline val="0"/>
        <shadow val="0"/>
        <u val="none"/>
        <vertAlign val="baseline"/>
        <sz val="10"/>
        <color auto="1"/>
        <name val="Sylfaen"/>
        <family val="1"/>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Sylfaen"/>
        <family val="1"/>
        <scheme val="none"/>
      </font>
      <numFmt numFmtId="2" formatCode="0.00"/>
      <alignment horizontal="left" vertical="top" textRotation="0" wrapText="0" indent="0" justifyLastLine="0" shrinkToFit="0" readingOrder="0"/>
    </dxf>
    <dxf>
      <font>
        <b val="0"/>
        <i val="0"/>
        <strike val="0"/>
        <condense val="0"/>
        <extend val="0"/>
        <outline val="0"/>
        <shadow val="0"/>
        <u val="none"/>
        <vertAlign val="baseline"/>
        <sz val="10"/>
        <color auto="1"/>
        <name val="Sylfaen"/>
        <family val="1"/>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Sylfaen"/>
        <family val="1"/>
        <scheme val="none"/>
      </font>
      <numFmt numFmtId="2" formatCode="0.00"/>
      <alignment horizontal="left" vertical="top" textRotation="0" wrapText="0" indent="0" justifyLastLine="0" shrinkToFit="0" readingOrder="0"/>
    </dxf>
    <dxf>
      <font>
        <b val="0"/>
        <i val="0"/>
        <strike val="0"/>
        <condense val="0"/>
        <extend val="0"/>
        <outline val="0"/>
        <shadow val="0"/>
        <u val="none"/>
        <vertAlign val="baseline"/>
        <sz val="10"/>
        <color auto="1"/>
        <name val="Sylfaen"/>
        <family val="1"/>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Sylfaen"/>
        <family val="1"/>
        <scheme val="none"/>
      </font>
      <numFmt numFmtId="2" formatCode="0.00"/>
      <alignment horizontal="left" vertical="top" textRotation="0" wrapText="0" indent="0" justifyLastLine="0" shrinkToFit="0" readingOrder="0"/>
    </dxf>
    <dxf>
      <font>
        <b val="0"/>
        <i val="0"/>
        <strike val="0"/>
        <condense val="0"/>
        <extend val="0"/>
        <outline val="0"/>
        <shadow val="0"/>
        <u val="none"/>
        <vertAlign val="baseline"/>
        <sz val="10"/>
        <color auto="1"/>
        <name val="Sylfaen"/>
        <family val="1"/>
        <scheme val="none"/>
      </font>
      <numFmt numFmtId="19" formatCode="dd/mm/yyyy"/>
      <alignment horizontal="left" vertical="top" textRotation="0" wrapText="0" indent="0" justifyLastLine="0" shrinkToFit="0" readingOrder="0"/>
    </dxf>
    <dxf>
      <font>
        <b val="0"/>
        <i val="0"/>
        <strike val="0"/>
        <condense val="0"/>
        <extend val="0"/>
        <outline val="0"/>
        <shadow val="0"/>
        <u val="none"/>
        <vertAlign val="baseline"/>
        <sz val="10"/>
        <color auto="1"/>
        <name val="Sylfaen"/>
        <family val="1"/>
        <scheme val="none"/>
      </font>
      <numFmt numFmtId="2" formatCode="0.00"/>
      <alignment horizontal="left" vertical="top" textRotation="0" wrapText="0" indent="0" justifyLastLine="0" shrinkToFit="0" readingOrder="0"/>
    </dxf>
    <dxf>
      <font>
        <b val="0"/>
        <i val="0"/>
        <strike val="0"/>
        <condense val="0"/>
        <extend val="0"/>
        <outline val="0"/>
        <shadow val="0"/>
        <u val="none"/>
        <vertAlign val="baseline"/>
        <sz val="10"/>
        <color auto="1"/>
        <name val="Sylfaen"/>
        <family val="1"/>
        <scheme val="none"/>
      </font>
      <numFmt numFmtId="19" formatCode="dd/mm/yyyy"/>
      <alignment horizontal="left" vertical="top" textRotation="0" wrapText="0" indent="0" justifyLastLine="0" shrinkToFit="0" readingOrder="0"/>
    </dxf>
    <dxf>
      <font>
        <b val="0"/>
        <i val="0"/>
        <strike val="0"/>
        <condense val="0"/>
        <extend val="0"/>
        <outline val="0"/>
        <shadow val="0"/>
        <u val="none"/>
        <vertAlign val="baseline"/>
        <sz val="10"/>
        <color auto="1"/>
        <name val="Sylfaen"/>
        <family val="1"/>
        <scheme val="none"/>
      </font>
      <numFmt numFmtId="2" formatCode="0.00"/>
      <alignment horizontal="left" vertical="top" textRotation="0" wrapText="0" indent="0" justifyLastLine="0" shrinkToFit="0" readingOrder="0"/>
    </dxf>
    <dxf>
      <font>
        <b val="0"/>
        <i val="0"/>
        <strike val="0"/>
        <condense val="0"/>
        <extend val="0"/>
        <outline val="0"/>
        <shadow val="0"/>
        <u val="none"/>
        <vertAlign val="baseline"/>
        <sz val="10"/>
        <color auto="1"/>
        <name val="Sylfaen"/>
        <family val="1"/>
        <scheme val="none"/>
      </font>
      <numFmt numFmtId="19" formatCode="dd/mm/yyyy"/>
      <alignment horizontal="left" vertical="top" textRotation="0" wrapText="0" indent="0" justifyLastLine="0" shrinkToFit="0" readingOrder="0"/>
    </dxf>
    <dxf>
      <font>
        <b val="0"/>
        <i val="0"/>
        <strike val="0"/>
        <condense val="0"/>
        <extend val="0"/>
        <outline val="0"/>
        <shadow val="0"/>
        <u val="none"/>
        <vertAlign val="baseline"/>
        <sz val="10"/>
        <color auto="1"/>
        <name val="Sylfaen"/>
        <family val="1"/>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Sylfaen"/>
        <family val="1"/>
        <scheme val="none"/>
      </font>
      <numFmt numFmtId="19" formatCode="dd/mm/yyyy"/>
      <alignment horizontal="left" vertical="top" textRotation="0" wrapText="0" indent="0" justifyLastLine="0" shrinkToFit="0" readingOrder="0"/>
    </dxf>
    <dxf>
      <font>
        <b val="0"/>
        <i val="0"/>
        <strike val="0"/>
        <condense val="0"/>
        <extend val="0"/>
        <outline val="0"/>
        <shadow val="0"/>
        <u val="none"/>
        <vertAlign val="baseline"/>
        <sz val="10"/>
        <color auto="1"/>
        <name val="Sylfaen"/>
        <family val="1"/>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Sylfaen"/>
        <family val="1"/>
        <scheme val="none"/>
      </font>
      <numFmt numFmtId="19" formatCode="dd/mm/yyyy"/>
      <alignment horizontal="left" vertical="top" textRotation="0" wrapText="0" indent="0" justifyLastLine="0" shrinkToFit="0" readingOrder="0"/>
    </dxf>
    <dxf>
      <font>
        <b val="0"/>
        <i val="0"/>
        <strike val="0"/>
        <condense val="0"/>
        <extend val="0"/>
        <outline val="0"/>
        <shadow val="0"/>
        <u val="none"/>
        <vertAlign val="baseline"/>
        <sz val="10"/>
        <color auto="1"/>
        <name val="Sylfaen"/>
        <family val="1"/>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Sylfaen"/>
        <family val="1"/>
        <scheme val="none"/>
      </font>
      <numFmt numFmtId="19" formatCode="dd/mm/yyyy"/>
      <alignment horizontal="left" vertical="top" textRotation="0" wrapText="0" indent="0" justifyLastLine="0" shrinkToFit="0" readingOrder="0"/>
    </dxf>
    <dxf>
      <font>
        <b val="0"/>
        <i val="0"/>
        <strike val="0"/>
        <condense val="0"/>
        <extend val="0"/>
        <outline val="0"/>
        <shadow val="0"/>
        <u val="none"/>
        <vertAlign val="baseline"/>
        <sz val="10"/>
        <color auto="1"/>
        <name val="Sylfaen"/>
        <family val="1"/>
        <scheme val="none"/>
      </font>
      <numFmt numFmtId="2" formatCode="0.00"/>
      <alignment horizontal="left" vertical="top" textRotation="0" wrapText="0" indent="0" justifyLastLine="0" shrinkToFit="0" readingOrder="0"/>
    </dxf>
    <dxf>
      <font>
        <b val="0"/>
        <i val="0"/>
        <strike val="0"/>
        <condense val="0"/>
        <extend val="0"/>
        <outline val="0"/>
        <shadow val="0"/>
        <u val="none"/>
        <vertAlign val="baseline"/>
        <sz val="10"/>
        <color auto="1"/>
        <name val="Sylfaen"/>
        <family val="1"/>
        <scheme val="none"/>
      </font>
      <numFmt numFmtId="168" formatCode="m/d/yyyy"/>
      <alignment horizontal="left" vertical="top" textRotation="0" wrapText="0" indent="0" justifyLastLine="0" shrinkToFit="0" readingOrder="0"/>
    </dxf>
    <dxf>
      <font>
        <b val="0"/>
        <i val="0"/>
        <strike val="0"/>
        <condense val="0"/>
        <extend val="0"/>
        <outline val="0"/>
        <shadow val="0"/>
        <u val="none"/>
        <vertAlign val="baseline"/>
        <sz val="10"/>
        <color auto="1"/>
        <name val="Sylfaen"/>
        <family val="1"/>
        <scheme val="none"/>
      </font>
      <numFmt numFmtId="165" formatCode="dd/mmm/yyyy"/>
      <alignment horizontal="left" vertical="top" textRotation="0" wrapText="0" indent="0" justifyLastLine="0" shrinkToFit="0" readingOrder="0"/>
    </dxf>
    <dxf>
      <font>
        <b val="0"/>
        <i val="0"/>
        <strike val="0"/>
        <condense val="0"/>
        <extend val="0"/>
        <outline val="0"/>
        <shadow val="0"/>
        <u val="none"/>
        <vertAlign val="baseline"/>
        <sz val="10"/>
        <color auto="1"/>
        <name val="Sylfaen"/>
        <family val="1"/>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Sylfaen"/>
        <family val="1"/>
        <scheme val="none"/>
      </font>
      <numFmt numFmtId="165" formatCode="dd/mmm/yyyy"/>
      <alignment horizontal="left" vertical="top" textRotation="0" wrapText="0" indent="0" justifyLastLine="0" shrinkToFit="0" readingOrder="0"/>
    </dxf>
    <dxf>
      <font>
        <b val="0"/>
        <i val="0"/>
        <strike val="0"/>
        <condense val="0"/>
        <extend val="0"/>
        <outline val="0"/>
        <shadow val="0"/>
        <u val="none"/>
        <vertAlign val="baseline"/>
        <sz val="10"/>
        <color auto="1"/>
        <name val="Sylfaen"/>
        <family val="1"/>
        <scheme val="none"/>
      </font>
      <numFmt numFmtId="2" formatCode="0.00"/>
      <alignment horizontal="left" vertical="top" textRotation="0" wrapText="0" indent="0" justifyLastLine="0" shrinkToFit="0" readingOrder="0"/>
    </dxf>
    <dxf>
      <font>
        <b val="0"/>
        <i val="0"/>
        <strike val="0"/>
        <condense val="0"/>
        <extend val="0"/>
        <outline val="0"/>
        <shadow val="0"/>
        <u val="none"/>
        <vertAlign val="baseline"/>
        <sz val="10"/>
        <color auto="1"/>
        <name val="Sylfaen"/>
        <family val="1"/>
        <scheme val="none"/>
      </font>
      <numFmt numFmtId="19" formatCode="dd/mm/yyyy"/>
      <alignment horizontal="left" vertical="top" textRotation="0" wrapText="0" indent="0" justifyLastLine="0" shrinkToFit="0" readingOrder="0"/>
    </dxf>
    <dxf>
      <font>
        <b val="0"/>
        <i val="0"/>
        <strike val="0"/>
        <condense val="0"/>
        <extend val="0"/>
        <outline val="0"/>
        <shadow val="0"/>
        <u val="none"/>
        <vertAlign val="baseline"/>
        <sz val="10"/>
        <color auto="1"/>
        <name val="Sylfaen"/>
        <family val="1"/>
        <scheme val="none"/>
      </font>
      <numFmt numFmtId="19" formatCode="dd/mm/yyyy"/>
      <alignment horizontal="left" vertical="top" textRotation="0" wrapText="0" indent="0" justifyLastLine="0" shrinkToFit="0" readingOrder="0"/>
    </dxf>
    <dxf>
      <font>
        <b val="0"/>
        <i val="0"/>
        <strike val="0"/>
        <condense val="0"/>
        <extend val="0"/>
        <outline val="0"/>
        <shadow val="0"/>
        <u val="none"/>
        <vertAlign val="baseline"/>
        <sz val="10"/>
        <color auto="1"/>
        <name val="Sylfaen"/>
        <family val="1"/>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Sylfaen"/>
        <family val="1"/>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Sylfaen"/>
        <family val="1"/>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Sylfaen"/>
        <family val="1"/>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Sylfaen"/>
        <family val="1"/>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Sylfaen"/>
        <family val="1"/>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Sylfaen"/>
        <family val="1"/>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Sylfaen"/>
        <family val="1"/>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Sylfaen"/>
        <family val="1"/>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Sylfaen"/>
        <family val="1"/>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Sylfaen"/>
        <family val="1"/>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Sylfaen"/>
        <family val="1"/>
        <scheme val="none"/>
      </font>
      <alignment horizontal="left" vertical="top" textRotation="0" wrapText="0" indent="0" justifyLastLine="0" shrinkToFit="0" readingOrder="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numFmt numFmtId="167" formatCode="[$$-409]#,##0"/>
    </dxf>
    <dxf>
      <alignment wrapText="1"/>
    </dxf>
    <dxf>
      <numFmt numFmtId="167" formatCode="[$$-409]#,##0"/>
    </dxf>
    <dxf>
      <font>
        <b/>
        <color theme="1"/>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1" defaultTableStyle="TableStyleMedium2" defaultPivotStyle="PivotStyleLight16">
    <tableStyle name="rSlicerStyleLight1 2" pivot="0" table="0" count="10" xr9:uid="{BB8EB7FF-5912-41F8-96BE-6E2D00B962C7}">
      <tableStyleElement type="wholeTable" dxfId="87"/>
      <tableStyleElement type="headerRow" dxfId="86"/>
    </tableStyle>
  </tableStyles>
  <colors>
    <mruColors>
      <color rgb="FFFF9393"/>
      <color rgb="FFFFB7B7"/>
      <color rgb="FFFF5757"/>
      <color rgb="FFFF3232"/>
      <color rgb="FFFF2F2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rgb="FFFF5757"/>
              <bgColor rgb="FFFFB7B7"/>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rgb="FFFF0000"/>
              <bgColor rgb="FFFF0000"/>
            </patternFill>
          </fill>
          <border>
            <left style="thin">
              <color rgb="FF999999"/>
            </left>
            <right style="thin">
              <color rgb="FF999999"/>
            </right>
            <top style="thin">
              <color rgb="FF999999"/>
            </top>
            <bottom style="thin">
              <color rgb="FF999999"/>
            </bottom>
            <vertical/>
            <horizontal/>
          </border>
        </dxf>
        <dxf>
          <font>
            <color rgb="FFFF0000"/>
          </font>
          <fill>
            <patternFill patternType="solid">
              <fgColor rgb="FFFFFFFF"/>
              <bgColor rgb="FFFF9393"/>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r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1.xml"/><Relationship Id="rId18" Type="http://schemas.microsoft.com/office/2007/relationships/slicerCache" Target="slicerCaches/slicerCache6.xml"/><Relationship Id="rId26" Type="http://schemas.microsoft.com/office/2007/relationships/slicerCache" Target="slicerCaches/slicerCache14.xml"/><Relationship Id="rId39" Type="http://schemas.microsoft.com/office/2017/06/relationships/rdRichValueStructure" Target="richData/rdrichvaluestructure.xml"/><Relationship Id="rId21" Type="http://schemas.microsoft.com/office/2007/relationships/slicerCache" Target="slicerCaches/slicerCache9.xml"/><Relationship Id="rId34" Type="http://schemas.openxmlformats.org/officeDocument/2006/relationships/connections" Target="connections.xml"/><Relationship Id="rId42"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microsoft.com/office/2007/relationships/slicerCache" Target="slicerCaches/slicerCache4.xml"/><Relationship Id="rId29" Type="http://schemas.microsoft.com/office/2007/relationships/slicerCache" Target="slicerCaches/slicerCache1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2.xml"/><Relationship Id="rId32" Type="http://schemas.microsoft.com/office/2011/relationships/timelineCache" Target="timelineCaches/timelineCache2.xml"/><Relationship Id="rId37" Type="http://schemas.openxmlformats.org/officeDocument/2006/relationships/sheetMetadata" Target="metadata.xml"/><Relationship Id="rId40" Type="http://schemas.microsoft.com/office/2017/06/relationships/rdRichValueTypes" Target="richData/rdRichValueTypes.xml"/><Relationship Id="rId45" Type="http://schemas.openxmlformats.org/officeDocument/2006/relationships/customXml" Target="../customXml/item4.xml"/><Relationship Id="rId5" Type="http://schemas.openxmlformats.org/officeDocument/2006/relationships/worksheet" Target="worksheets/sheet5.xml"/><Relationship Id="rId15" Type="http://schemas.microsoft.com/office/2007/relationships/slicerCache" Target="slicerCaches/slicerCache3.xml"/><Relationship Id="rId23" Type="http://schemas.microsoft.com/office/2007/relationships/slicerCache" Target="slicerCaches/slicerCache11.xml"/><Relationship Id="rId28" Type="http://schemas.microsoft.com/office/2007/relationships/slicerCache" Target="slicerCaches/slicerCache16.xml"/><Relationship Id="rId36" Type="http://schemas.openxmlformats.org/officeDocument/2006/relationships/sharedStrings" Target="sharedStrings.xml"/><Relationship Id="rId10" Type="http://schemas.openxmlformats.org/officeDocument/2006/relationships/worksheet" Target="worksheets/sheet10.xml"/><Relationship Id="rId19" Type="http://schemas.microsoft.com/office/2007/relationships/slicerCache" Target="slicerCaches/slicerCache7.xml"/><Relationship Id="rId31" Type="http://schemas.microsoft.com/office/2011/relationships/timelineCache" Target="timelineCaches/timelineCache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 Id="rId22" Type="http://schemas.microsoft.com/office/2007/relationships/slicerCache" Target="slicerCaches/slicerCache10.xml"/><Relationship Id="rId27" Type="http://schemas.microsoft.com/office/2007/relationships/slicerCache" Target="slicerCaches/slicerCache15.xml"/><Relationship Id="rId30" Type="http://schemas.microsoft.com/office/2007/relationships/slicerCache" Target="slicerCaches/slicerCache18.xml"/><Relationship Id="rId35" Type="http://schemas.openxmlformats.org/officeDocument/2006/relationships/styles" Target="styles.xml"/><Relationship Id="rId43"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pivotCacheDefinition" Target="pivotCache/pivotCacheDefinition1.xml"/><Relationship Id="rId17" Type="http://schemas.microsoft.com/office/2007/relationships/slicerCache" Target="slicerCaches/slicerCache5.xml"/><Relationship Id="rId25" Type="http://schemas.microsoft.com/office/2007/relationships/slicerCache" Target="slicerCaches/slicerCache13.xml"/><Relationship Id="rId33" Type="http://schemas.openxmlformats.org/officeDocument/2006/relationships/theme" Target="theme/theme1.xml"/><Relationship Id="rId38" Type="http://schemas.microsoft.com/office/2017/06/relationships/rdRichValue" Target="richData/rdrichvalue.xml"/><Relationship Id="rId46" Type="http://schemas.microsoft.com/office/2006/relationships/vbaProject" Target="vbaProject.bin"/><Relationship Id="rId20" Type="http://schemas.microsoft.com/office/2007/relationships/slicerCache" Target="slicerCaches/slicerCache8.xml"/><Relationship Id="rId41"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3.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4.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5.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6.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7.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8.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Ex15.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16.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Portfolio</a:t>
            </a:r>
            <a:r>
              <a:rPr lang="en-US" b="1" baseline="0"/>
              <a:t> Distribution</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8"/>
          <c:order val="0"/>
          <c:tx>
            <c:strRef>
              <c:f>Ref!$AC$11</c:f>
              <c:strCache>
                <c:ptCount val="1"/>
                <c:pt idx="0">
                  <c:v>High risk</c:v>
                </c:pt>
              </c:strCache>
            </c:strRef>
          </c:tx>
          <c:spPr>
            <a:solidFill>
              <a:srgbClr val="FF0000"/>
            </a:solidFill>
            <a:ln>
              <a:noFill/>
            </a:ln>
            <a:effectLst/>
          </c:spPr>
          <c:invertIfNegative val="0"/>
          <c:cat>
            <c:strRef>
              <c:f>Ref!$AD$2:$AG$2</c:f>
              <c:strCache>
                <c:ptCount val="4"/>
                <c:pt idx="0">
                  <c:v>Networking</c:v>
                </c:pt>
                <c:pt idx="1">
                  <c:v>Security</c:v>
                </c:pt>
                <c:pt idx="2">
                  <c:v>Cloud + AI Infrastructure</c:v>
                </c:pt>
                <c:pt idx="3">
                  <c:v>Collaboration</c:v>
                </c:pt>
              </c:strCache>
            </c:strRef>
          </c:cat>
          <c:val>
            <c:numRef>
              <c:f>Ref!$AD$11:$AG$11</c:f>
              <c:numCache>
                <c:formatCode>_-[$$-409]* #,##0_ ;_-[$$-409]* \-#,##0\ ;_-[$$-409]* "-"??_ ;_-@_ </c:formatCode>
                <c:ptCount val="4"/>
                <c:pt idx="0">
                  <c:v>0</c:v>
                </c:pt>
                <c:pt idx="1">
                  <c:v>0</c:v>
                </c:pt>
                <c:pt idx="2">
                  <c:v>0</c:v>
                </c:pt>
                <c:pt idx="3">
                  <c:v>0</c:v>
                </c:pt>
              </c:numCache>
            </c:numRef>
          </c:val>
          <c:extLst>
            <c:ext xmlns:c16="http://schemas.microsoft.com/office/drawing/2014/chart" uri="{C3380CC4-5D6E-409C-BE32-E72D297353CC}">
              <c16:uniqueId val="{00000000-8B87-4732-AEE8-8BD421319AB4}"/>
            </c:ext>
          </c:extLst>
        </c:ser>
        <c:ser>
          <c:idx val="9"/>
          <c:order val="1"/>
          <c:tx>
            <c:strRef>
              <c:f>Ref!$AC$12</c:f>
              <c:strCache>
                <c:ptCount val="1"/>
                <c:pt idx="0">
                  <c:v>Medium risk</c:v>
                </c:pt>
              </c:strCache>
            </c:strRef>
          </c:tx>
          <c:spPr>
            <a:solidFill>
              <a:schemeClr val="accent2"/>
            </a:solidFill>
            <a:ln>
              <a:noFill/>
            </a:ln>
            <a:effectLst/>
          </c:spPr>
          <c:invertIfNegative val="0"/>
          <c:cat>
            <c:strRef>
              <c:f>Ref!$AD$2:$AG$2</c:f>
              <c:strCache>
                <c:ptCount val="4"/>
                <c:pt idx="0">
                  <c:v>Networking</c:v>
                </c:pt>
                <c:pt idx="1">
                  <c:v>Security</c:v>
                </c:pt>
                <c:pt idx="2">
                  <c:v>Cloud + AI Infrastructure</c:v>
                </c:pt>
                <c:pt idx="3">
                  <c:v>Collaboration</c:v>
                </c:pt>
              </c:strCache>
            </c:strRef>
          </c:cat>
          <c:val>
            <c:numRef>
              <c:f>Ref!$AD$12:$AG$12</c:f>
              <c:numCache>
                <c:formatCode>_-[$$-409]* #,##0_ ;_-[$$-409]* \-#,##0\ ;_-[$$-409]* "-"??_ ;_-@_ </c:formatCode>
                <c:ptCount val="4"/>
                <c:pt idx="0">
                  <c:v>0</c:v>
                </c:pt>
                <c:pt idx="1">
                  <c:v>0</c:v>
                </c:pt>
                <c:pt idx="2">
                  <c:v>0</c:v>
                </c:pt>
                <c:pt idx="3">
                  <c:v>0</c:v>
                </c:pt>
              </c:numCache>
            </c:numRef>
          </c:val>
          <c:extLst>
            <c:ext xmlns:c16="http://schemas.microsoft.com/office/drawing/2014/chart" uri="{C3380CC4-5D6E-409C-BE32-E72D297353CC}">
              <c16:uniqueId val="{00000001-8B87-4732-AEE8-8BD421319AB4}"/>
            </c:ext>
          </c:extLst>
        </c:ser>
        <c:ser>
          <c:idx val="10"/>
          <c:order val="2"/>
          <c:tx>
            <c:strRef>
              <c:f>Ref!$AC$13</c:f>
              <c:strCache>
                <c:ptCount val="1"/>
                <c:pt idx="0">
                  <c:v>Low risk</c:v>
                </c:pt>
              </c:strCache>
            </c:strRef>
          </c:tx>
          <c:spPr>
            <a:solidFill>
              <a:schemeClr val="accent3"/>
            </a:solidFill>
            <a:ln>
              <a:noFill/>
            </a:ln>
            <a:effectLst/>
          </c:spPr>
          <c:invertIfNegative val="0"/>
          <c:cat>
            <c:strRef>
              <c:f>Ref!$AD$2:$AG$2</c:f>
              <c:strCache>
                <c:ptCount val="4"/>
                <c:pt idx="0">
                  <c:v>Networking</c:v>
                </c:pt>
                <c:pt idx="1">
                  <c:v>Security</c:v>
                </c:pt>
                <c:pt idx="2">
                  <c:v>Cloud + AI Infrastructure</c:v>
                </c:pt>
                <c:pt idx="3">
                  <c:v>Collaboration</c:v>
                </c:pt>
              </c:strCache>
            </c:strRef>
          </c:cat>
          <c:val>
            <c:numRef>
              <c:f>Ref!$AD$13:$AG$13</c:f>
              <c:numCache>
                <c:formatCode>_-[$$-409]* #,##0_ ;_-[$$-409]* \-#,##0\ ;_-[$$-409]* "-"??_ ;_-@_ </c:formatCode>
                <c:ptCount val="4"/>
                <c:pt idx="0">
                  <c:v>0</c:v>
                </c:pt>
                <c:pt idx="1">
                  <c:v>0</c:v>
                </c:pt>
                <c:pt idx="2">
                  <c:v>0</c:v>
                </c:pt>
                <c:pt idx="3">
                  <c:v>0</c:v>
                </c:pt>
              </c:numCache>
            </c:numRef>
          </c:val>
          <c:extLst>
            <c:ext xmlns:c16="http://schemas.microsoft.com/office/drawing/2014/chart" uri="{C3380CC4-5D6E-409C-BE32-E72D297353CC}">
              <c16:uniqueId val="{00000002-8B87-4732-AEE8-8BD421319AB4}"/>
            </c:ext>
          </c:extLst>
        </c:ser>
        <c:dLbls>
          <c:showLegendKey val="0"/>
          <c:showVal val="0"/>
          <c:showCatName val="0"/>
          <c:showSerName val="0"/>
          <c:showPercent val="0"/>
          <c:showBubbleSize val="0"/>
        </c:dLbls>
        <c:gapWidth val="55"/>
        <c:overlap val="100"/>
        <c:axId val="902950943"/>
        <c:axId val="902948543"/>
      </c:barChart>
      <c:catAx>
        <c:axId val="90295094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2948543"/>
        <c:crosses val="autoZero"/>
        <c:auto val="1"/>
        <c:lblAlgn val="ctr"/>
        <c:lblOffset val="100"/>
        <c:noMultiLvlLbl val="0"/>
      </c:catAx>
      <c:valAx>
        <c:axId val="902948543"/>
        <c:scaling>
          <c:orientation val="minMax"/>
        </c:scaling>
        <c:delete val="0"/>
        <c:axPos val="b"/>
        <c:majorGridlines>
          <c:spPr>
            <a:ln w="9525" cap="flat" cmpd="sng" algn="ctr">
              <a:solidFill>
                <a:schemeClr val="tx1">
                  <a:lumMod val="15000"/>
                  <a:lumOff val="85000"/>
                </a:schemeClr>
              </a:solidFill>
              <a:round/>
            </a:ln>
            <a:effectLst/>
          </c:spPr>
        </c:majorGridlines>
        <c:numFmt formatCode="_-[$$-409]* #,##0_ ;_-[$$-409]* \-#,##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29509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Opt-in</a:t>
            </a:r>
            <a:r>
              <a:rPr lang="en-US" baseline="0"/>
              <a:t> Ratio </a:t>
            </a:r>
          </a:p>
          <a:p>
            <a:pPr>
              <a:defRPr/>
            </a:pPr>
            <a:r>
              <a:rPr lang="en-US" sz="1050" baseline="0"/>
              <a:t>(maximum payout for eligible UC)</a:t>
            </a:r>
            <a:endParaRPr lang="en-US" sz="105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tx>
            <c:strRef>
              <c:f>Ref!$R$25</c:f>
              <c:strCache>
                <c:ptCount val="1"/>
                <c:pt idx="0">
                  <c:v>Portfolio</c:v>
                </c:pt>
              </c:strCache>
            </c:strRef>
          </c:tx>
          <c:dPt>
            <c:idx val="0"/>
            <c:bubble3D val="0"/>
            <c:spPr>
              <a:solidFill>
                <a:schemeClr val="accent6"/>
              </a:solidFill>
              <a:ln w="19050">
                <a:solidFill>
                  <a:schemeClr val="lt1"/>
                </a:solidFill>
              </a:ln>
              <a:effectLst/>
            </c:spPr>
            <c:extLst>
              <c:ext xmlns:c16="http://schemas.microsoft.com/office/drawing/2014/chart" uri="{C3380CC4-5D6E-409C-BE32-E72D297353CC}">
                <c16:uniqueId val="{00000001-C101-4E79-BDE7-8FFDEFFFD315}"/>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C101-4E79-BDE7-8FFDEFFFD315}"/>
              </c:ext>
            </c:extLst>
          </c:dPt>
          <c:dLbls>
            <c:dLbl>
              <c:idx val="0"/>
              <c:layout>
                <c:manualLayout>
                  <c:x val="0.16983261100179603"/>
                  <c:y val="-0.20740538341800432"/>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C101-4E79-BDE7-8FFDEFFFD315}"/>
                </c:ext>
              </c:extLst>
            </c:dLbl>
            <c:dLbl>
              <c:idx val="1"/>
              <c:layout>
                <c:manualLayout>
                  <c:x val="-2.886792946613928E-2"/>
                  <c:y val="0.21917035941581731"/>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C101-4E79-BDE7-8FFDEFFFD31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Ref!$Q$26:$Q$27</c:f>
              <c:strCache>
                <c:ptCount val="2"/>
                <c:pt idx="0">
                  <c:v>Opted-in</c:v>
                </c:pt>
                <c:pt idx="1">
                  <c:v>Potential</c:v>
                </c:pt>
              </c:strCache>
            </c:strRef>
          </c:cat>
          <c:val>
            <c:numRef>
              <c:f>Ref!$R$26:$R$27</c:f>
              <c:numCache>
                <c:formatCode>_-[$$-409]* #,##0_ ;_-[$$-409]* \-#,##0\ ;_-[$$-409]* "-"??_ ;_-@_ </c:formatCode>
                <c:ptCount val="2"/>
                <c:pt idx="0">
                  <c:v>0</c:v>
                </c:pt>
                <c:pt idx="1">
                  <c:v>0</c:v>
                </c:pt>
              </c:numCache>
            </c:numRef>
          </c:val>
          <c:extLst>
            <c:ext xmlns:c16="http://schemas.microsoft.com/office/drawing/2014/chart" uri="{C3380CC4-5D6E-409C-BE32-E72D297353CC}">
              <c16:uniqueId val="{00000004-C101-4E79-BDE7-8FFDEFFFD315}"/>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Incentives</a:t>
            </a:r>
          </a:p>
          <a:p>
            <a:pPr>
              <a:defRPr/>
            </a:pPr>
            <a:r>
              <a:rPr lang="en-US" sz="1050"/>
              <a:t>(all opted-in UCs)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Ref!$Q$28</c:f>
              <c:strCache>
                <c:ptCount val="1"/>
                <c:pt idx="0">
                  <c:v>Estimated Earned</c:v>
                </c:pt>
              </c:strCache>
            </c:strRef>
          </c:tx>
          <c:spPr>
            <a:solidFill>
              <a:schemeClr val="accent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Ref!$R$28</c:f>
              <c:numCache>
                <c:formatCode>_-[$$-409]* #,##0_ ;_-[$$-409]* \-#,##0\ ;_-[$$-409]* "-"??_ ;_-@_ </c:formatCode>
                <c:ptCount val="1"/>
                <c:pt idx="0">
                  <c:v>0</c:v>
                </c:pt>
              </c:numCache>
            </c:numRef>
          </c:val>
          <c:extLst>
            <c:ext xmlns:c16="http://schemas.microsoft.com/office/drawing/2014/chart" uri="{C3380CC4-5D6E-409C-BE32-E72D297353CC}">
              <c16:uniqueId val="{00000000-227A-4856-9340-CDF6D606D160}"/>
            </c:ext>
          </c:extLst>
        </c:ser>
        <c:ser>
          <c:idx val="1"/>
          <c:order val="1"/>
          <c:tx>
            <c:strRef>
              <c:f>Ref!$Q$29</c:f>
              <c:strCache>
                <c:ptCount val="1"/>
                <c:pt idx="0">
                  <c:v>Potential remaining</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Ref!$R$29</c:f>
              <c:numCache>
                <c:formatCode>_-[$$-409]* #,##0_ ;_-[$$-409]* \-#,##0\ ;_-[$$-409]* "-"??_ ;_-@_ </c:formatCode>
                <c:ptCount val="1"/>
                <c:pt idx="0">
                  <c:v>0</c:v>
                </c:pt>
              </c:numCache>
            </c:numRef>
          </c:val>
          <c:extLst>
            <c:ext xmlns:c16="http://schemas.microsoft.com/office/drawing/2014/chart" uri="{C3380CC4-5D6E-409C-BE32-E72D297353CC}">
              <c16:uniqueId val="{00000001-227A-4856-9340-CDF6D606D160}"/>
            </c:ext>
          </c:extLst>
        </c:ser>
        <c:dLbls>
          <c:dLblPos val="outEnd"/>
          <c:showLegendKey val="0"/>
          <c:showVal val="1"/>
          <c:showCatName val="0"/>
          <c:showSerName val="0"/>
          <c:showPercent val="0"/>
          <c:showBubbleSize val="0"/>
        </c:dLbls>
        <c:gapWidth val="219"/>
        <c:overlap val="-27"/>
        <c:axId val="2037984"/>
        <c:axId val="2041824"/>
      </c:barChart>
      <c:catAx>
        <c:axId val="2037984"/>
        <c:scaling>
          <c:orientation val="minMax"/>
        </c:scaling>
        <c:delete val="1"/>
        <c:axPos val="b"/>
        <c:numFmt formatCode="General" sourceLinked="1"/>
        <c:majorTickMark val="none"/>
        <c:minorTickMark val="none"/>
        <c:tickLblPos val="nextTo"/>
        <c:crossAx val="2041824"/>
        <c:crosses val="autoZero"/>
        <c:auto val="1"/>
        <c:lblAlgn val="ctr"/>
        <c:lblOffset val="100"/>
        <c:noMultiLvlLbl val="0"/>
      </c:catAx>
      <c:valAx>
        <c:axId val="2041824"/>
        <c:scaling>
          <c:orientation val="minMax"/>
        </c:scaling>
        <c:delete val="1"/>
        <c:axPos val="l"/>
        <c:majorGridlines>
          <c:spPr>
            <a:ln w="9525" cap="flat" cmpd="sng" algn="ctr">
              <a:solidFill>
                <a:schemeClr val="tx1">
                  <a:lumMod val="15000"/>
                  <a:lumOff val="85000"/>
                </a:schemeClr>
              </a:solidFill>
              <a:round/>
            </a:ln>
            <a:effectLst/>
          </c:spPr>
        </c:majorGridlines>
        <c:numFmt formatCode="_-[$$-409]* #,##0_ ;_-[$$-409]* \-#,##0\ ;_-[$$-409]* &quot;-&quot;??_ ;_-@_ " sourceLinked="1"/>
        <c:majorTickMark val="none"/>
        <c:minorTickMark val="none"/>
        <c:tickLblPos val="nextTo"/>
        <c:crossAx val="2037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Opt-in</a:t>
            </a:r>
            <a:r>
              <a:rPr lang="en-US" baseline="0"/>
              <a:t> Ratio </a:t>
            </a:r>
          </a:p>
          <a:p>
            <a:pPr>
              <a:defRPr/>
            </a:pPr>
            <a:r>
              <a:rPr lang="en-US" sz="1050" baseline="0"/>
              <a:t>(payout for eligible UC)</a:t>
            </a:r>
            <a:endParaRPr lang="en-US" sz="105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1"/>
          <c:order val="1"/>
          <c:dPt>
            <c:idx val="0"/>
            <c:bubble3D val="0"/>
            <c:spPr>
              <a:solidFill>
                <a:schemeClr val="accent6"/>
              </a:solidFill>
              <a:ln w="19050">
                <a:solidFill>
                  <a:schemeClr val="lt1"/>
                </a:solidFill>
              </a:ln>
              <a:effectLst/>
            </c:spPr>
            <c:extLst>
              <c:ext xmlns:c16="http://schemas.microsoft.com/office/drawing/2014/chart" uri="{C3380CC4-5D6E-409C-BE32-E72D297353CC}">
                <c16:uniqueId val="{00000001-3306-4283-9594-46427F60FC97}"/>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3306-4283-9594-46427F60FC97}"/>
              </c:ext>
            </c:extLst>
          </c:dPt>
          <c:dLbls>
            <c:dLbl>
              <c:idx val="0"/>
              <c:layout>
                <c:manualLayout>
                  <c:x val="0.25483222533138788"/>
                  <c:y val="-6.8304412330073921E-2"/>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3306-4283-9594-46427F60FC97}"/>
                </c:ext>
              </c:extLst>
            </c:dLbl>
            <c:dLbl>
              <c:idx val="1"/>
              <c:layout>
                <c:manualLayout>
                  <c:x val="-1.1583282738810964E-2"/>
                  <c:y val="-0.31392991919669094"/>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3306-4283-9594-46427F60FC9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Ref!$Q$26:$Q$27</c:f>
              <c:strCache>
                <c:ptCount val="2"/>
                <c:pt idx="0">
                  <c:v>Opted-in</c:v>
                </c:pt>
                <c:pt idx="1">
                  <c:v>Potential</c:v>
                </c:pt>
              </c:strCache>
            </c:strRef>
          </c:cat>
          <c:val>
            <c:numRef>
              <c:f>Ref!$S$26:$S$27</c:f>
              <c:numCache>
                <c:formatCode>_-[$$-409]* #,##0_ ;_-[$$-409]* \-#,##0\ ;_-[$$-409]* "-"??_ ;_-@_ </c:formatCode>
                <c:ptCount val="2"/>
                <c:pt idx="0">
                  <c:v>0</c:v>
                </c:pt>
                <c:pt idx="1">
                  <c:v>0</c:v>
                </c:pt>
              </c:numCache>
            </c:numRef>
          </c:val>
          <c:extLst>
            <c:ext xmlns:c16="http://schemas.microsoft.com/office/drawing/2014/chart" uri="{C3380CC4-5D6E-409C-BE32-E72D297353CC}">
              <c16:uniqueId val="{00000004-3306-4283-9594-46427F60FC97}"/>
            </c:ext>
          </c:extLst>
        </c:ser>
        <c:dLbls>
          <c:showLegendKey val="0"/>
          <c:showVal val="1"/>
          <c:showCatName val="0"/>
          <c:showSerName val="0"/>
          <c:showPercent val="0"/>
          <c:showBubbleSize val="0"/>
          <c:showLeaderLines val="1"/>
        </c:dLbls>
        <c:firstSliceAng val="0"/>
        <c:holeSize val="75"/>
        <c:extLst>
          <c:ext xmlns:c15="http://schemas.microsoft.com/office/drawing/2012/chart" uri="{02D57815-91ED-43cb-92C2-25804820EDAC}">
            <c15:filteredPieSeries>
              <c15:ser>
                <c:idx val="0"/>
                <c:order val="0"/>
                <c:dPt>
                  <c:idx val="0"/>
                  <c:bubble3D val="0"/>
                  <c:spPr>
                    <a:solidFill>
                      <a:schemeClr val="accent6"/>
                    </a:solidFill>
                    <a:ln w="19050">
                      <a:solidFill>
                        <a:schemeClr val="lt1"/>
                      </a:solidFill>
                    </a:ln>
                    <a:effectLst/>
                  </c:spPr>
                  <c:extLst>
                    <c:ext xmlns:c16="http://schemas.microsoft.com/office/drawing/2014/chart" uri="{C3380CC4-5D6E-409C-BE32-E72D297353CC}">
                      <c16:uniqueId val="{00000006-3306-4283-9594-46427F60FC97}"/>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8-3306-4283-9594-46427F60FC9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uri="{CE6537A1-D6FC-4f65-9D91-7224C49458BB}"/>
                  </c:extLst>
                </c:dLbls>
                <c:cat>
                  <c:strRef>
                    <c:extLst>
                      <c:ext uri="{02D57815-91ED-43cb-92C2-25804820EDAC}">
                        <c15:formulaRef>
                          <c15:sqref>Ref!$Q$26:$Q$27</c15:sqref>
                        </c15:formulaRef>
                      </c:ext>
                    </c:extLst>
                    <c:strCache>
                      <c:ptCount val="2"/>
                      <c:pt idx="0">
                        <c:v>Opted-in</c:v>
                      </c:pt>
                      <c:pt idx="1">
                        <c:v>Potential</c:v>
                      </c:pt>
                    </c:strCache>
                  </c:strRef>
                </c:cat>
                <c:val>
                  <c:numRef>
                    <c:extLst>
                      <c:ext uri="{02D57815-91ED-43cb-92C2-25804820EDAC}">
                        <c15:formulaRef>
                          <c15:sqref>Ref!$R$26:$R$27</c15:sqref>
                        </c15:formulaRef>
                      </c:ext>
                    </c:extLst>
                    <c:numCache>
                      <c:formatCode>_-[$$-409]* #,##0_ ;_-[$$-409]* \-#,##0\ ;_-[$$-409]* "-"??_ ;_-@_ </c:formatCode>
                      <c:ptCount val="2"/>
                      <c:pt idx="0">
                        <c:v>0</c:v>
                      </c:pt>
                      <c:pt idx="1">
                        <c:v>0</c:v>
                      </c:pt>
                    </c:numCache>
                  </c:numRef>
                </c:val>
                <c:extLst>
                  <c:ext xmlns:c16="http://schemas.microsoft.com/office/drawing/2014/chart" uri="{C3380CC4-5D6E-409C-BE32-E72D297353CC}">
                    <c16:uniqueId val="{00000009-3306-4283-9594-46427F60FC97}"/>
                  </c:ext>
                </c:extLst>
              </c15:ser>
            </c15:filteredPieSeries>
          </c:ext>
        </c:extLst>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Incentives</a:t>
            </a:r>
          </a:p>
          <a:p>
            <a:pPr>
              <a:defRPr/>
            </a:pPr>
            <a:r>
              <a:rPr lang="en-US" sz="1050"/>
              <a:t>(all opted-in UCs)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Ref!$Q$28</c:f>
              <c:strCache>
                <c:ptCount val="1"/>
                <c:pt idx="0">
                  <c:v>Estimated Earned</c:v>
                </c:pt>
              </c:strCache>
            </c:strRef>
          </c:tx>
          <c:spPr>
            <a:solidFill>
              <a:schemeClr val="accent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2</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Ref!$R$28:$S$28</c15:sqref>
                  </c15:fullRef>
                </c:ext>
              </c:extLst>
              <c:f>Ref!$S$28</c:f>
              <c:numCache>
                <c:formatCode>_-[$$-409]* #,##0_ ;_-[$$-409]* \-#,##0\ ;_-[$$-409]* "-"??_ ;_-@_ </c:formatCode>
                <c:ptCount val="1"/>
                <c:pt idx="0">
                  <c:v>0</c:v>
                </c:pt>
              </c:numCache>
            </c:numRef>
          </c:val>
          <c:extLst>
            <c:ext xmlns:c16="http://schemas.microsoft.com/office/drawing/2014/chart" uri="{C3380CC4-5D6E-409C-BE32-E72D297353CC}">
              <c16:uniqueId val="{00000000-AC9C-4CC4-9AD5-DE7E57ADF1E4}"/>
            </c:ext>
          </c:extLst>
        </c:ser>
        <c:ser>
          <c:idx val="1"/>
          <c:order val="1"/>
          <c:tx>
            <c:strRef>
              <c:f>Ref!$Q$29</c:f>
              <c:strCache>
                <c:ptCount val="1"/>
                <c:pt idx="0">
                  <c:v>Potential remaining</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2</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Ref!$R$29:$S$29</c15:sqref>
                  </c15:fullRef>
                </c:ext>
              </c:extLst>
              <c:f>Ref!$S$29</c:f>
              <c:numCache>
                <c:formatCode>_-[$$-409]* #,##0_ ;_-[$$-409]* \-#,##0\ ;_-[$$-409]* "-"??_ ;_-@_ </c:formatCode>
                <c:ptCount val="1"/>
                <c:pt idx="0">
                  <c:v>0</c:v>
                </c:pt>
              </c:numCache>
            </c:numRef>
          </c:val>
          <c:extLst>
            <c:ext xmlns:c16="http://schemas.microsoft.com/office/drawing/2014/chart" uri="{C3380CC4-5D6E-409C-BE32-E72D297353CC}">
              <c16:uniqueId val="{00000001-AC9C-4CC4-9AD5-DE7E57ADF1E4}"/>
            </c:ext>
          </c:extLst>
        </c:ser>
        <c:dLbls>
          <c:dLblPos val="outEnd"/>
          <c:showLegendKey val="0"/>
          <c:showVal val="1"/>
          <c:showCatName val="0"/>
          <c:showSerName val="0"/>
          <c:showPercent val="0"/>
          <c:showBubbleSize val="0"/>
        </c:dLbls>
        <c:gapWidth val="219"/>
        <c:overlap val="-27"/>
        <c:axId val="2037984"/>
        <c:axId val="2041824"/>
      </c:barChart>
      <c:catAx>
        <c:axId val="2037984"/>
        <c:scaling>
          <c:orientation val="minMax"/>
        </c:scaling>
        <c:delete val="1"/>
        <c:axPos val="b"/>
        <c:numFmt formatCode="General" sourceLinked="1"/>
        <c:majorTickMark val="none"/>
        <c:minorTickMark val="none"/>
        <c:tickLblPos val="nextTo"/>
        <c:crossAx val="2041824"/>
        <c:crosses val="autoZero"/>
        <c:auto val="1"/>
        <c:lblAlgn val="ctr"/>
        <c:lblOffset val="100"/>
        <c:noMultiLvlLbl val="0"/>
      </c:catAx>
      <c:valAx>
        <c:axId val="2041824"/>
        <c:scaling>
          <c:orientation val="minMax"/>
        </c:scaling>
        <c:delete val="1"/>
        <c:axPos val="l"/>
        <c:majorGridlines>
          <c:spPr>
            <a:ln w="9525" cap="flat" cmpd="sng" algn="ctr">
              <a:solidFill>
                <a:schemeClr val="tx1">
                  <a:lumMod val="15000"/>
                  <a:lumOff val="85000"/>
                </a:schemeClr>
              </a:solidFill>
              <a:round/>
            </a:ln>
            <a:effectLst/>
          </c:spPr>
        </c:majorGridlines>
        <c:numFmt formatCode="_-[$$-409]* #,##0_ ;_-[$$-409]* \-#,##0\ ;_-[$$-409]* &quot;-&quot;??_ ;_-@_ " sourceLinked="1"/>
        <c:majorTickMark val="none"/>
        <c:minorTickMark val="none"/>
        <c:tickLblPos val="nextTo"/>
        <c:crossAx val="2037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Monthly Estimated</a:t>
            </a:r>
            <a:r>
              <a:rPr lang="en-US" baseline="0"/>
              <a:t> Earned Incentives</a:t>
            </a:r>
          </a:p>
          <a:p>
            <a:pPr>
              <a:defRPr/>
            </a:pPr>
            <a:r>
              <a:rPr lang="en-US" sz="1100" baseline="0"/>
              <a:t>(12 months)</a:t>
            </a:r>
            <a:endParaRPr lang="en-US" sz="110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2"/>
          <c:order val="12"/>
          <c:tx>
            <c:strRef>
              <c:f>Ref!$AD$36</c:f>
              <c:strCache>
                <c:ptCount val="1"/>
                <c:pt idx="0">
                  <c:v>Networking</c:v>
                </c:pt>
              </c:strCache>
            </c:strRef>
          </c:tx>
          <c:spPr>
            <a:solidFill>
              <a:schemeClr val="accent1">
                <a:lumMod val="80000"/>
                <a:lumOff val="20000"/>
              </a:schemeClr>
            </a:solidFill>
            <a:ln>
              <a:noFill/>
            </a:ln>
            <a:effectLst/>
          </c:spPr>
          <c:invertIfNegative val="0"/>
          <c:cat>
            <c:numRef>
              <c:extLst>
                <c:ext xmlns:c15="http://schemas.microsoft.com/office/drawing/2012/chart" uri="{02D57815-91ED-43cb-92C2-25804820EDAC}">
                  <c15:fullRef>
                    <c15:sqref>Ref!$Q$37:$Q$60</c15:sqref>
                  </c15:fullRef>
                </c:ext>
              </c:extLst>
              <c:f>Ref!$Q$49:$Q$60</c:f>
              <c:numCache>
                <c:formatCode>mmm\-yy</c:formatCode>
                <c:ptCount val="12"/>
                <c:pt idx="0">
                  <c:v>46143</c:v>
                </c:pt>
                <c:pt idx="1">
                  <c:v>46113</c:v>
                </c:pt>
                <c:pt idx="2">
                  <c:v>46082</c:v>
                </c:pt>
                <c:pt idx="3">
                  <c:v>46054</c:v>
                </c:pt>
                <c:pt idx="4">
                  <c:v>46023</c:v>
                </c:pt>
                <c:pt idx="5">
                  <c:v>45992</c:v>
                </c:pt>
                <c:pt idx="6">
                  <c:v>45962</c:v>
                </c:pt>
                <c:pt idx="7">
                  <c:v>45931</c:v>
                </c:pt>
                <c:pt idx="8">
                  <c:v>45901</c:v>
                </c:pt>
                <c:pt idx="9">
                  <c:v>45870</c:v>
                </c:pt>
                <c:pt idx="10">
                  <c:v>45839</c:v>
                </c:pt>
                <c:pt idx="11">
                  <c:v>45809</c:v>
                </c:pt>
              </c:numCache>
            </c:numRef>
          </c:cat>
          <c:val>
            <c:numRef>
              <c:extLst>
                <c:ext xmlns:c15="http://schemas.microsoft.com/office/drawing/2012/chart" uri="{02D57815-91ED-43cb-92C2-25804820EDAC}">
                  <c15:fullRef>
                    <c15:sqref>Ref!$AD$37:$AD$60</c15:sqref>
                  </c15:fullRef>
                </c:ext>
              </c:extLst>
              <c:f>Ref!$AD$49:$AD$60</c:f>
              <c:numCache>
                <c:formatCode>0</c:formatCode>
                <c:ptCount val="12"/>
                <c:pt idx="0" formatCode="_-[$$-409]* #,##0_ ;_-[$$-409]* \-#,##0\ ;_-[$$-409]* &quot;-&quot;??_ ;_-@_ ">
                  <c:v>0</c:v>
                </c:pt>
                <c:pt idx="1" formatCode="_-[$$-409]* #,##0_ ;_-[$$-409]* \-#,##0\ ;_-[$$-409]* &quot;-&quot;??_ ;_-@_ ">
                  <c:v>0</c:v>
                </c:pt>
                <c:pt idx="2" formatCode="_-[$$-409]* #,##0_ ;_-[$$-409]* \-#,##0\ ;_-[$$-409]* &quot;-&quot;??_ ;_-@_ ">
                  <c:v>0</c:v>
                </c:pt>
                <c:pt idx="3" formatCode="_-[$$-409]* #,##0_ ;_-[$$-409]* \-#,##0\ ;_-[$$-409]* &quot;-&quot;??_ ;_-@_ ">
                  <c:v>0</c:v>
                </c:pt>
                <c:pt idx="4" formatCode="_-[$$-409]* #,##0_ ;_-[$$-409]* \-#,##0\ ;_-[$$-409]* &quot;-&quot;??_ ;_-@_ ">
                  <c:v>0</c:v>
                </c:pt>
                <c:pt idx="5" formatCode="_-[$$-409]* #,##0_ ;_-[$$-409]* \-#,##0\ ;_-[$$-409]* &quot;-&quot;??_ ;_-@_ ">
                  <c:v>0</c:v>
                </c:pt>
                <c:pt idx="6" formatCode="_-[$$-409]* #,##0_ ;_-[$$-409]* \-#,##0\ ;_-[$$-409]* &quot;-&quot;??_ ;_-@_ ">
                  <c:v>0</c:v>
                </c:pt>
                <c:pt idx="7" formatCode="_-[$$-409]* #,##0_ ;_-[$$-409]* \-#,##0\ ;_-[$$-409]* &quot;-&quot;??_ ;_-@_ ">
                  <c:v>0</c:v>
                </c:pt>
                <c:pt idx="8" formatCode="_-[$$-409]* #,##0_ ;_-[$$-409]* \-#,##0\ ;_-[$$-409]* &quot;-&quot;??_ ;_-@_ ">
                  <c:v>0</c:v>
                </c:pt>
                <c:pt idx="9" formatCode="_-[$$-409]* #,##0_ ;_-[$$-409]* \-#,##0\ ;_-[$$-409]* &quot;-&quot;??_ ;_-@_ ">
                  <c:v>0</c:v>
                </c:pt>
                <c:pt idx="10" formatCode="_-[$$-409]* #,##0_ ;_-[$$-409]* \-#,##0\ ;_-[$$-409]* &quot;-&quot;??_ ;_-@_ ">
                  <c:v>0</c:v>
                </c:pt>
                <c:pt idx="11" formatCode="_-[$$-409]* #,##0_ ;_-[$$-409]* \-#,##0\ ;_-[$$-409]* &quot;-&quot;??_ ;_-@_ ">
                  <c:v>0</c:v>
                </c:pt>
              </c:numCache>
            </c:numRef>
          </c:val>
          <c:extLst>
            <c:ext xmlns:c16="http://schemas.microsoft.com/office/drawing/2014/chart" uri="{C3380CC4-5D6E-409C-BE32-E72D297353CC}">
              <c16:uniqueId val="{00000000-7435-4223-84D3-FADBA42DEEA8}"/>
            </c:ext>
          </c:extLst>
        </c:ser>
        <c:ser>
          <c:idx val="13"/>
          <c:order val="13"/>
          <c:tx>
            <c:strRef>
              <c:f>Ref!$AE$36</c:f>
              <c:strCache>
                <c:ptCount val="1"/>
                <c:pt idx="0">
                  <c:v>Security</c:v>
                </c:pt>
              </c:strCache>
            </c:strRef>
          </c:tx>
          <c:spPr>
            <a:solidFill>
              <a:schemeClr val="accent2">
                <a:lumMod val="80000"/>
                <a:lumOff val="20000"/>
              </a:schemeClr>
            </a:solidFill>
            <a:ln>
              <a:noFill/>
            </a:ln>
            <a:effectLst/>
          </c:spPr>
          <c:invertIfNegative val="0"/>
          <c:cat>
            <c:numRef>
              <c:extLst>
                <c:ext xmlns:c15="http://schemas.microsoft.com/office/drawing/2012/chart" uri="{02D57815-91ED-43cb-92C2-25804820EDAC}">
                  <c15:fullRef>
                    <c15:sqref>Ref!$Q$37:$Q$60</c15:sqref>
                  </c15:fullRef>
                </c:ext>
              </c:extLst>
              <c:f>Ref!$Q$49:$Q$60</c:f>
              <c:numCache>
                <c:formatCode>mmm\-yy</c:formatCode>
                <c:ptCount val="12"/>
                <c:pt idx="0">
                  <c:v>46143</c:v>
                </c:pt>
                <c:pt idx="1">
                  <c:v>46113</c:v>
                </c:pt>
                <c:pt idx="2">
                  <c:v>46082</c:v>
                </c:pt>
                <c:pt idx="3">
                  <c:v>46054</c:v>
                </c:pt>
                <c:pt idx="4">
                  <c:v>46023</c:v>
                </c:pt>
                <c:pt idx="5">
                  <c:v>45992</c:v>
                </c:pt>
                <c:pt idx="6">
                  <c:v>45962</c:v>
                </c:pt>
                <c:pt idx="7">
                  <c:v>45931</c:v>
                </c:pt>
                <c:pt idx="8">
                  <c:v>45901</c:v>
                </c:pt>
                <c:pt idx="9">
                  <c:v>45870</c:v>
                </c:pt>
                <c:pt idx="10">
                  <c:v>45839</c:v>
                </c:pt>
                <c:pt idx="11">
                  <c:v>45809</c:v>
                </c:pt>
              </c:numCache>
            </c:numRef>
          </c:cat>
          <c:val>
            <c:numRef>
              <c:extLst>
                <c:ext xmlns:c15="http://schemas.microsoft.com/office/drawing/2012/chart" uri="{02D57815-91ED-43cb-92C2-25804820EDAC}">
                  <c15:fullRef>
                    <c15:sqref>Ref!$AE$37:$AE$60</c15:sqref>
                  </c15:fullRef>
                </c:ext>
              </c:extLst>
              <c:f>Ref!$AE$49:$AE$60</c:f>
              <c:numCache>
                <c:formatCode>0</c:formatCode>
                <c:ptCount val="12"/>
                <c:pt idx="0" formatCode="_-[$$-409]* #,##0_ ;_-[$$-409]* \-#,##0\ ;_-[$$-409]* &quot;-&quot;??_ ;_-@_ ">
                  <c:v>0</c:v>
                </c:pt>
                <c:pt idx="1" formatCode="_-[$$-409]* #,##0_ ;_-[$$-409]* \-#,##0\ ;_-[$$-409]* &quot;-&quot;??_ ;_-@_ ">
                  <c:v>0</c:v>
                </c:pt>
                <c:pt idx="2" formatCode="_-[$$-409]* #,##0_ ;_-[$$-409]* \-#,##0\ ;_-[$$-409]* &quot;-&quot;??_ ;_-@_ ">
                  <c:v>0</c:v>
                </c:pt>
                <c:pt idx="3" formatCode="_-[$$-409]* #,##0_ ;_-[$$-409]* \-#,##0\ ;_-[$$-409]* &quot;-&quot;??_ ;_-@_ ">
                  <c:v>0</c:v>
                </c:pt>
                <c:pt idx="4" formatCode="_-[$$-409]* #,##0_ ;_-[$$-409]* \-#,##0\ ;_-[$$-409]* &quot;-&quot;??_ ;_-@_ ">
                  <c:v>0</c:v>
                </c:pt>
                <c:pt idx="5" formatCode="_-[$$-409]* #,##0_ ;_-[$$-409]* \-#,##0\ ;_-[$$-409]* &quot;-&quot;??_ ;_-@_ ">
                  <c:v>0</c:v>
                </c:pt>
                <c:pt idx="6" formatCode="_-[$$-409]* #,##0_ ;_-[$$-409]* \-#,##0\ ;_-[$$-409]* &quot;-&quot;??_ ;_-@_ ">
                  <c:v>0</c:v>
                </c:pt>
                <c:pt idx="7" formatCode="_-[$$-409]* #,##0_ ;_-[$$-409]* \-#,##0\ ;_-[$$-409]* &quot;-&quot;??_ ;_-@_ ">
                  <c:v>0</c:v>
                </c:pt>
                <c:pt idx="8" formatCode="_-[$$-409]* #,##0_ ;_-[$$-409]* \-#,##0\ ;_-[$$-409]* &quot;-&quot;??_ ;_-@_ ">
                  <c:v>0</c:v>
                </c:pt>
                <c:pt idx="9" formatCode="_-[$$-409]* #,##0_ ;_-[$$-409]* \-#,##0\ ;_-[$$-409]* &quot;-&quot;??_ ;_-@_ ">
                  <c:v>0</c:v>
                </c:pt>
                <c:pt idx="10" formatCode="_-[$$-409]* #,##0_ ;_-[$$-409]* \-#,##0\ ;_-[$$-409]* &quot;-&quot;??_ ;_-@_ ">
                  <c:v>0</c:v>
                </c:pt>
                <c:pt idx="11" formatCode="_-[$$-409]* #,##0_ ;_-[$$-409]* \-#,##0\ ;_-[$$-409]* &quot;-&quot;??_ ;_-@_ ">
                  <c:v>0</c:v>
                </c:pt>
              </c:numCache>
            </c:numRef>
          </c:val>
          <c:extLst>
            <c:ext xmlns:c16="http://schemas.microsoft.com/office/drawing/2014/chart" uri="{C3380CC4-5D6E-409C-BE32-E72D297353CC}">
              <c16:uniqueId val="{00000001-7435-4223-84D3-FADBA42DEEA8}"/>
            </c:ext>
          </c:extLst>
        </c:ser>
        <c:ser>
          <c:idx val="14"/>
          <c:order val="14"/>
          <c:tx>
            <c:strRef>
              <c:f>Ref!$AF$36</c:f>
              <c:strCache>
                <c:ptCount val="1"/>
                <c:pt idx="0">
                  <c:v>Cloud + AI Infrastructure</c:v>
                </c:pt>
              </c:strCache>
            </c:strRef>
          </c:tx>
          <c:spPr>
            <a:solidFill>
              <a:schemeClr val="accent3">
                <a:lumMod val="80000"/>
                <a:lumOff val="20000"/>
              </a:schemeClr>
            </a:solidFill>
            <a:ln>
              <a:noFill/>
            </a:ln>
            <a:effectLst/>
          </c:spPr>
          <c:invertIfNegative val="0"/>
          <c:cat>
            <c:numRef>
              <c:extLst>
                <c:ext xmlns:c15="http://schemas.microsoft.com/office/drawing/2012/chart" uri="{02D57815-91ED-43cb-92C2-25804820EDAC}">
                  <c15:fullRef>
                    <c15:sqref>Ref!$Q$37:$Q$60</c15:sqref>
                  </c15:fullRef>
                </c:ext>
              </c:extLst>
              <c:f>Ref!$Q$49:$Q$60</c:f>
              <c:numCache>
                <c:formatCode>mmm\-yy</c:formatCode>
                <c:ptCount val="12"/>
                <c:pt idx="0">
                  <c:v>46143</c:v>
                </c:pt>
                <c:pt idx="1">
                  <c:v>46113</c:v>
                </c:pt>
                <c:pt idx="2">
                  <c:v>46082</c:v>
                </c:pt>
                <c:pt idx="3">
                  <c:v>46054</c:v>
                </c:pt>
                <c:pt idx="4">
                  <c:v>46023</c:v>
                </c:pt>
                <c:pt idx="5">
                  <c:v>45992</c:v>
                </c:pt>
                <c:pt idx="6">
                  <c:v>45962</c:v>
                </c:pt>
                <c:pt idx="7">
                  <c:v>45931</c:v>
                </c:pt>
                <c:pt idx="8">
                  <c:v>45901</c:v>
                </c:pt>
                <c:pt idx="9">
                  <c:v>45870</c:v>
                </c:pt>
                <c:pt idx="10">
                  <c:v>45839</c:v>
                </c:pt>
                <c:pt idx="11">
                  <c:v>45809</c:v>
                </c:pt>
              </c:numCache>
            </c:numRef>
          </c:cat>
          <c:val>
            <c:numRef>
              <c:extLst>
                <c:ext xmlns:c15="http://schemas.microsoft.com/office/drawing/2012/chart" uri="{02D57815-91ED-43cb-92C2-25804820EDAC}">
                  <c15:fullRef>
                    <c15:sqref>Ref!$AF$37:$AF$60</c15:sqref>
                  </c15:fullRef>
                </c:ext>
              </c:extLst>
              <c:f>Ref!$AF$49:$AF$60</c:f>
              <c:numCache>
                <c:formatCode>0</c:formatCode>
                <c:ptCount val="12"/>
                <c:pt idx="0" formatCode="_-[$$-409]* #,##0_ ;_-[$$-409]* \-#,##0\ ;_-[$$-409]* &quot;-&quot;??_ ;_-@_ ">
                  <c:v>0</c:v>
                </c:pt>
                <c:pt idx="1" formatCode="_-[$$-409]* #,##0_ ;_-[$$-409]* \-#,##0\ ;_-[$$-409]* &quot;-&quot;??_ ;_-@_ ">
                  <c:v>0</c:v>
                </c:pt>
                <c:pt idx="2" formatCode="_-[$$-409]* #,##0_ ;_-[$$-409]* \-#,##0\ ;_-[$$-409]* &quot;-&quot;??_ ;_-@_ ">
                  <c:v>0</c:v>
                </c:pt>
                <c:pt idx="3" formatCode="_-[$$-409]* #,##0_ ;_-[$$-409]* \-#,##0\ ;_-[$$-409]* &quot;-&quot;??_ ;_-@_ ">
                  <c:v>0</c:v>
                </c:pt>
                <c:pt idx="4" formatCode="_-[$$-409]* #,##0_ ;_-[$$-409]* \-#,##0\ ;_-[$$-409]* &quot;-&quot;??_ ;_-@_ ">
                  <c:v>0</c:v>
                </c:pt>
                <c:pt idx="5" formatCode="_-[$$-409]* #,##0_ ;_-[$$-409]* \-#,##0\ ;_-[$$-409]* &quot;-&quot;??_ ;_-@_ ">
                  <c:v>0</c:v>
                </c:pt>
                <c:pt idx="6" formatCode="_-[$$-409]* #,##0_ ;_-[$$-409]* \-#,##0\ ;_-[$$-409]* &quot;-&quot;??_ ;_-@_ ">
                  <c:v>0</c:v>
                </c:pt>
                <c:pt idx="7" formatCode="_-[$$-409]* #,##0_ ;_-[$$-409]* \-#,##0\ ;_-[$$-409]* &quot;-&quot;??_ ;_-@_ ">
                  <c:v>0</c:v>
                </c:pt>
                <c:pt idx="8" formatCode="_-[$$-409]* #,##0_ ;_-[$$-409]* \-#,##0\ ;_-[$$-409]* &quot;-&quot;??_ ;_-@_ ">
                  <c:v>0</c:v>
                </c:pt>
                <c:pt idx="9" formatCode="_-[$$-409]* #,##0_ ;_-[$$-409]* \-#,##0\ ;_-[$$-409]* &quot;-&quot;??_ ;_-@_ ">
                  <c:v>0</c:v>
                </c:pt>
                <c:pt idx="10" formatCode="_-[$$-409]* #,##0_ ;_-[$$-409]* \-#,##0\ ;_-[$$-409]* &quot;-&quot;??_ ;_-@_ ">
                  <c:v>0</c:v>
                </c:pt>
                <c:pt idx="11" formatCode="_-[$$-409]* #,##0_ ;_-[$$-409]* \-#,##0\ ;_-[$$-409]* &quot;-&quot;??_ ;_-@_ ">
                  <c:v>0</c:v>
                </c:pt>
              </c:numCache>
            </c:numRef>
          </c:val>
          <c:extLst>
            <c:ext xmlns:c16="http://schemas.microsoft.com/office/drawing/2014/chart" uri="{C3380CC4-5D6E-409C-BE32-E72D297353CC}">
              <c16:uniqueId val="{00000002-7435-4223-84D3-FADBA42DEEA8}"/>
            </c:ext>
          </c:extLst>
        </c:ser>
        <c:ser>
          <c:idx val="15"/>
          <c:order val="15"/>
          <c:tx>
            <c:strRef>
              <c:f>Ref!$AG$36</c:f>
              <c:strCache>
                <c:ptCount val="1"/>
                <c:pt idx="0">
                  <c:v>Collaboration</c:v>
                </c:pt>
              </c:strCache>
            </c:strRef>
          </c:tx>
          <c:spPr>
            <a:solidFill>
              <a:schemeClr val="accent4">
                <a:lumMod val="80000"/>
                <a:lumOff val="20000"/>
              </a:schemeClr>
            </a:solidFill>
            <a:ln>
              <a:noFill/>
            </a:ln>
            <a:effectLst/>
          </c:spPr>
          <c:invertIfNegative val="0"/>
          <c:cat>
            <c:numRef>
              <c:extLst>
                <c:ext xmlns:c15="http://schemas.microsoft.com/office/drawing/2012/chart" uri="{02D57815-91ED-43cb-92C2-25804820EDAC}">
                  <c15:fullRef>
                    <c15:sqref>Ref!$Q$37:$Q$60</c15:sqref>
                  </c15:fullRef>
                </c:ext>
              </c:extLst>
              <c:f>Ref!$Q$49:$Q$60</c:f>
              <c:numCache>
                <c:formatCode>mmm\-yy</c:formatCode>
                <c:ptCount val="12"/>
                <c:pt idx="0">
                  <c:v>46143</c:v>
                </c:pt>
                <c:pt idx="1">
                  <c:v>46113</c:v>
                </c:pt>
                <c:pt idx="2">
                  <c:v>46082</c:v>
                </c:pt>
                <c:pt idx="3">
                  <c:v>46054</c:v>
                </c:pt>
                <c:pt idx="4">
                  <c:v>46023</c:v>
                </c:pt>
                <c:pt idx="5">
                  <c:v>45992</c:v>
                </c:pt>
                <c:pt idx="6">
                  <c:v>45962</c:v>
                </c:pt>
                <c:pt idx="7">
                  <c:v>45931</c:v>
                </c:pt>
                <c:pt idx="8">
                  <c:v>45901</c:v>
                </c:pt>
                <c:pt idx="9">
                  <c:v>45870</c:v>
                </c:pt>
                <c:pt idx="10">
                  <c:v>45839</c:v>
                </c:pt>
                <c:pt idx="11">
                  <c:v>45809</c:v>
                </c:pt>
              </c:numCache>
            </c:numRef>
          </c:cat>
          <c:val>
            <c:numRef>
              <c:extLst>
                <c:ext xmlns:c15="http://schemas.microsoft.com/office/drawing/2012/chart" uri="{02D57815-91ED-43cb-92C2-25804820EDAC}">
                  <c15:fullRef>
                    <c15:sqref>Ref!$AG$37:$AG$60</c15:sqref>
                  </c15:fullRef>
                </c:ext>
              </c:extLst>
              <c:f>Ref!$AG$49:$AG$60</c:f>
              <c:numCache>
                <c:formatCode>0</c:formatCode>
                <c:ptCount val="12"/>
                <c:pt idx="0" formatCode="_-[$$-409]* #,##0_ ;_-[$$-409]* \-#,##0\ ;_-[$$-409]* &quot;-&quot;??_ ;_-@_ ">
                  <c:v>0</c:v>
                </c:pt>
                <c:pt idx="1" formatCode="_-[$$-409]* #,##0_ ;_-[$$-409]* \-#,##0\ ;_-[$$-409]* &quot;-&quot;??_ ;_-@_ ">
                  <c:v>0</c:v>
                </c:pt>
                <c:pt idx="2" formatCode="_-[$$-409]* #,##0_ ;_-[$$-409]* \-#,##0\ ;_-[$$-409]* &quot;-&quot;??_ ;_-@_ ">
                  <c:v>0</c:v>
                </c:pt>
                <c:pt idx="3" formatCode="_-[$$-409]* #,##0_ ;_-[$$-409]* \-#,##0\ ;_-[$$-409]* &quot;-&quot;??_ ;_-@_ ">
                  <c:v>0</c:v>
                </c:pt>
                <c:pt idx="4" formatCode="_-[$$-409]* #,##0_ ;_-[$$-409]* \-#,##0\ ;_-[$$-409]* &quot;-&quot;??_ ;_-@_ ">
                  <c:v>0</c:v>
                </c:pt>
                <c:pt idx="5" formatCode="_-[$$-409]* #,##0_ ;_-[$$-409]* \-#,##0\ ;_-[$$-409]* &quot;-&quot;??_ ;_-@_ ">
                  <c:v>0</c:v>
                </c:pt>
                <c:pt idx="6" formatCode="_-[$$-409]* #,##0_ ;_-[$$-409]* \-#,##0\ ;_-[$$-409]* &quot;-&quot;??_ ;_-@_ ">
                  <c:v>0</c:v>
                </c:pt>
                <c:pt idx="7" formatCode="_-[$$-409]* #,##0_ ;_-[$$-409]* \-#,##0\ ;_-[$$-409]* &quot;-&quot;??_ ;_-@_ ">
                  <c:v>0</c:v>
                </c:pt>
                <c:pt idx="8" formatCode="_-[$$-409]* #,##0_ ;_-[$$-409]* \-#,##0\ ;_-[$$-409]* &quot;-&quot;??_ ;_-@_ ">
                  <c:v>0</c:v>
                </c:pt>
                <c:pt idx="9" formatCode="_-[$$-409]* #,##0_ ;_-[$$-409]* \-#,##0\ ;_-[$$-409]* &quot;-&quot;??_ ;_-@_ ">
                  <c:v>0</c:v>
                </c:pt>
                <c:pt idx="10" formatCode="_-[$$-409]* #,##0_ ;_-[$$-409]* \-#,##0\ ;_-[$$-409]* &quot;-&quot;??_ ;_-@_ ">
                  <c:v>0</c:v>
                </c:pt>
                <c:pt idx="11" formatCode="_-[$$-409]* #,##0_ ;_-[$$-409]* \-#,##0\ ;_-[$$-409]* &quot;-&quot;??_ ;_-@_ ">
                  <c:v>0</c:v>
                </c:pt>
              </c:numCache>
            </c:numRef>
          </c:val>
          <c:extLst>
            <c:ext xmlns:c16="http://schemas.microsoft.com/office/drawing/2014/chart" uri="{C3380CC4-5D6E-409C-BE32-E72D297353CC}">
              <c16:uniqueId val="{00000003-7435-4223-84D3-FADBA42DEEA8}"/>
            </c:ext>
          </c:extLst>
        </c:ser>
        <c:dLbls>
          <c:showLegendKey val="0"/>
          <c:showVal val="0"/>
          <c:showCatName val="0"/>
          <c:showSerName val="0"/>
          <c:showPercent val="0"/>
          <c:showBubbleSize val="0"/>
        </c:dLbls>
        <c:gapWidth val="219"/>
        <c:overlap val="-27"/>
        <c:axId val="1824960608"/>
        <c:axId val="1824958688"/>
        <c:extLst>
          <c:ext xmlns:c15="http://schemas.microsoft.com/office/drawing/2012/chart" uri="{02D57815-91ED-43cb-92C2-25804820EDAC}">
            <c15:filteredBarSeries>
              <c15:ser>
                <c:idx val="0"/>
                <c:order val="0"/>
                <c:tx>
                  <c:strRef>
                    <c:extLst>
                      <c:ext uri="{02D57815-91ED-43cb-92C2-25804820EDAC}">
                        <c15:formulaRef>
                          <c15:sqref>Ref!$R$36</c15:sqref>
                        </c15:formulaRef>
                      </c:ext>
                    </c:extLst>
                    <c:strCache>
                      <c:ptCount val="1"/>
                      <c:pt idx="0">
                        <c:v>Catalyst Center</c:v>
                      </c:pt>
                    </c:strCache>
                  </c:strRef>
                </c:tx>
                <c:spPr>
                  <a:solidFill>
                    <a:schemeClr val="accent1"/>
                  </a:solidFill>
                  <a:ln>
                    <a:noFill/>
                  </a:ln>
                  <a:effectLst/>
                </c:spPr>
                <c:invertIfNegative val="0"/>
                <c:cat>
                  <c:numRef>
                    <c:extLst>
                      <c:ext uri="{02D57815-91ED-43cb-92C2-25804820EDAC}">
                        <c15:fullRef>
                          <c15:sqref>Ref!$Q$37:$Q$60</c15:sqref>
                        </c15:fullRef>
                        <c15:formulaRef>
                          <c15:sqref>Ref!$Q$49:$Q$60</c15:sqref>
                        </c15:formulaRef>
                      </c:ext>
                    </c:extLst>
                    <c:numCache>
                      <c:formatCode>mmm\-yy</c:formatCode>
                      <c:ptCount val="12"/>
                      <c:pt idx="0">
                        <c:v>46143</c:v>
                      </c:pt>
                      <c:pt idx="1">
                        <c:v>46113</c:v>
                      </c:pt>
                      <c:pt idx="2">
                        <c:v>46082</c:v>
                      </c:pt>
                      <c:pt idx="3">
                        <c:v>46054</c:v>
                      </c:pt>
                      <c:pt idx="4">
                        <c:v>46023</c:v>
                      </c:pt>
                      <c:pt idx="5">
                        <c:v>45992</c:v>
                      </c:pt>
                      <c:pt idx="6">
                        <c:v>45962</c:v>
                      </c:pt>
                      <c:pt idx="7">
                        <c:v>45931</c:v>
                      </c:pt>
                      <c:pt idx="8">
                        <c:v>45901</c:v>
                      </c:pt>
                      <c:pt idx="9">
                        <c:v>45870</c:v>
                      </c:pt>
                      <c:pt idx="10">
                        <c:v>45839</c:v>
                      </c:pt>
                      <c:pt idx="11">
                        <c:v>45809</c:v>
                      </c:pt>
                    </c:numCache>
                  </c:numRef>
                </c:cat>
                <c:val>
                  <c:numRef>
                    <c:extLst>
                      <c:ext uri="{02D57815-91ED-43cb-92C2-25804820EDAC}">
                        <c15:fullRef>
                          <c15:sqref>Ref!$R$37:$R$60</c15:sqref>
                        </c15:fullRef>
                        <c15:formulaRef>
                          <c15:sqref>Ref!$R$49:$R$60</c15:sqref>
                        </c15:formulaRef>
                      </c:ext>
                    </c:extLst>
                    <c:numCache>
                      <c:formatCode>0</c:formatCode>
                      <c:ptCount val="12"/>
                      <c:pt idx="0" formatCode="_-[$$-409]* #,##0_ ;_-[$$-409]* \-#,##0\ ;_-[$$-409]* &quot;-&quot;??_ ;_-@_ ">
                        <c:v>0</c:v>
                      </c:pt>
                      <c:pt idx="1" formatCode="_-[$$-409]* #,##0_ ;_-[$$-409]* \-#,##0\ ;_-[$$-409]* &quot;-&quot;??_ ;_-@_ ">
                        <c:v>0</c:v>
                      </c:pt>
                      <c:pt idx="2" formatCode="_-[$$-409]* #,##0_ ;_-[$$-409]* \-#,##0\ ;_-[$$-409]* &quot;-&quot;??_ ;_-@_ ">
                        <c:v>0</c:v>
                      </c:pt>
                      <c:pt idx="3" formatCode="_-[$$-409]* #,##0_ ;_-[$$-409]* \-#,##0\ ;_-[$$-409]* &quot;-&quot;??_ ;_-@_ ">
                        <c:v>0</c:v>
                      </c:pt>
                      <c:pt idx="4" formatCode="_-[$$-409]* #,##0_ ;_-[$$-409]* \-#,##0\ ;_-[$$-409]* &quot;-&quot;??_ ;_-@_ ">
                        <c:v>0</c:v>
                      </c:pt>
                      <c:pt idx="5" formatCode="_-[$$-409]* #,##0_ ;_-[$$-409]* \-#,##0\ ;_-[$$-409]* &quot;-&quot;??_ ;_-@_ ">
                        <c:v>0</c:v>
                      </c:pt>
                      <c:pt idx="6" formatCode="_-[$$-409]* #,##0_ ;_-[$$-409]* \-#,##0\ ;_-[$$-409]* &quot;-&quot;??_ ;_-@_ ">
                        <c:v>0</c:v>
                      </c:pt>
                      <c:pt idx="7" formatCode="_-[$$-409]* #,##0_ ;_-[$$-409]* \-#,##0\ ;_-[$$-409]* &quot;-&quot;??_ ;_-@_ ">
                        <c:v>0</c:v>
                      </c:pt>
                      <c:pt idx="8" formatCode="_-[$$-409]* #,##0_ ;_-[$$-409]* \-#,##0\ ;_-[$$-409]* &quot;-&quot;??_ ;_-@_ ">
                        <c:v>0</c:v>
                      </c:pt>
                      <c:pt idx="9" formatCode="_-[$$-409]* #,##0_ ;_-[$$-409]* \-#,##0\ ;_-[$$-409]* &quot;-&quot;??_ ;_-@_ ">
                        <c:v>0</c:v>
                      </c:pt>
                      <c:pt idx="10" formatCode="_-[$$-409]* #,##0_ ;_-[$$-409]* \-#,##0\ ;_-[$$-409]* &quot;-&quot;??_ ;_-@_ ">
                        <c:v>0</c:v>
                      </c:pt>
                      <c:pt idx="11" formatCode="_-[$$-409]* #,##0_ ;_-[$$-409]* \-#,##0\ ;_-[$$-409]* &quot;-&quot;??_ ;_-@_ ">
                        <c:v>0</c:v>
                      </c:pt>
                    </c:numCache>
                  </c:numRef>
                </c:val>
                <c:extLst>
                  <c:ext xmlns:c16="http://schemas.microsoft.com/office/drawing/2014/chart" uri="{C3380CC4-5D6E-409C-BE32-E72D297353CC}">
                    <c16:uniqueId val="{00000004-7435-4223-84D3-FADBA42DEEA8}"/>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Ref!$S$36</c15:sqref>
                        </c15:formulaRef>
                      </c:ext>
                    </c:extLst>
                    <c:strCache>
                      <c:ptCount val="1"/>
                      <c:pt idx="0">
                        <c:v>Meraki</c:v>
                      </c:pt>
                    </c:strCache>
                  </c:strRef>
                </c:tx>
                <c:spPr>
                  <a:solidFill>
                    <a:schemeClr val="accent2"/>
                  </a:solidFill>
                  <a:ln>
                    <a:noFill/>
                  </a:ln>
                  <a:effectLst/>
                </c:spPr>
                <c:invertIfNegative val="0"/>
                <c:cat>
                  <c:numRef>
                    <c:extLst>
                      <c:ext xmlns:c15="http://schemas.microsoft.com/office/drawing/2012/chart" uri="{02D57815-91ED-43cb-92C2-25804820EDAC}">
                        <c15:fullRef>
                          <c15:sqref>Ref!$Q$37:$Q$60</c15:sqref>
                        </c15:fullRef>
                        <c15:formulaRef>
                          <c15:sqref>Ref!$Q$49:$Q$60</c15:sqref>
                        </c15:formulaRef>
                      </c:ext>
                    </c:extLst>
                    <c:numCache>
                      <c:formatCode>mmm\-yy</c:formatCode>
                      <c:ptCount val="12"/>
                      <c:pt idx="0">
                        <c:v>46143</c:v>
                      </c:pt>
                      <c:pt idx="1">
                        <c:v>46113</c:v>
                      </c:pt>
                      <c:pt idx="2">
                        <c:v>46082</c:v>
                      </c:pt>
                      <c:pt idx="3">
                        <c:v>46054</c:v>
                      </c:pt>
                      <c:pt idx="4">
                        <c:v>46023</c:v>
                      </c:pt>
                      <c:pt idx="5">
                        <c:v>45992</c:v>
                      </c:pt>
                      <c:pt idx="6">
                        <c:v>45962</c:v>
                      </c:pt>
                      <c:pt idx="7">
                        <c:v>45931</c:v>
                      </c:pt>
                      <c:pt idx="8">
                        <c:v>45901</c:v>
                      </c:pt>
                      <c:pt idx="9">
                        <c:v>45870</c:v>
                      </c:pt>
                      <c:pt idx="10">
                        <c:v>45839</c:v>
                      </c:pt>
                      <c:pt idx="11">
                        <c:v>45809</c:v>
                      </c:pt>
                    </c:numCache>
                  </c:numRef>
                </c:cat>
                <c:val>
                  <c:numRef>
                    <c:extLst>
                      <c:ext xmlns:c15="http://schemas.microsoft.com/office/drawing/2012/chart" uri="{02D57815-91ED-43cb-92C2-25804820EDAC}">
                        <c15:fullRef>
                          <c15:sqref>Ref!$S$37:$S$60</c15:sqref>
                        </c15:fullRef>
                        <c15:formulaRef>
                          <c15:sqref>Ref!$S$49:$S$60</c15:sqref>
                        </c15:formulaRef>
                      </c:ext>
                    </c:extLst>
                    <c:numCache>
                      <c:formatCode>0</c:formatCode>
                      <c:ptCount val="12"/>
                      <c:pt idx="0" formatCode="_-[$$-409]* #,##0_ ;_-[$$-409]* \-#,##0\ ;_-[$$-409]* &quot;-&quot;??_ ;_-@_ ">
                        <c:v>0</c:v>
                      </c:pt>
                      <c:pt idx="1" formatCode="_-[$$-409]* #,##0_ ;_-[$$-409]* \-#,##0\ ;_-[$$-409]* &quot;-&quot;??_ ;_-@_ ">
                        <c:v>0</c:v>
                      </c:pt>
                      <c:pt idx="2" formatCode="_-[$$-409]* #,##0_ ;_-[$$-409]* \-#,##0\ ;_-[$$-409]* &quot;-&quot;??_ ;_-@_ ">
                        <c:v>0</c:v>
                      </c:pt>
                      <c:pt idx="3" formatCode="_-[$$-409]* #,##0_ ;_-[$$-409]* \-#,##0\ ;_-[$$-409]* &quot;-&quot;??_ ;_-@_ ">
                        <c:v>0</c:v>
                      </c:pt>
                      <c:pt idx="4" formatCode="_-[$$-409]* #,##0_ ;_-[$$-409]* \-#,##0\ ;_-[$$-409]* &quot;-&quot;??_ ;_-@_ ">
                        <c:v>0</c:v>
                      </c:pt>
                      <c:pt idx="5" formatCode="_-[$$-409]* #,##0_ ;_-[$$-409]* \-#,##0\ ;_-[$$-409]* &quot;-&quot;??_ ;_-@_ ">
                        <c:v>0</c:v>
                      </c:pt>
                      <c:pt idx="6" formatCode="_-[$$-409]* #,##0_ ;_-[$$-409]* \-#,##0\ ;_-[$$-409]* &quot;-&quot;??_ ;_-@_ ">
                        <c:v>0</c:v>
                      </c:pt>
                      <c:pt idx="7" formatCode="_-[$$-409]* #,##0_ ;_-[$$-409]* \-#,##0\ ;_-[$$-409]* &quot;-&quot;??_ ;_-@_ ">
                        <c:v>0</c:v>
                      </c:pt>
                      <c:pt idx="8" formatCode="_-[$$-409]* #,##0_ ;_-[$$-409]* \-#,##0\ ;_-[$$-409]* &quot;-&quot;??_ ;_-@_ ">
                        <c:v>0</c:v>
                      </c:pt>
                      <c:pt idx="9" formatCode="_-[$$-409]* #,##0_ ;_-[$$-409]* \-#,##0\ ;_-[$$-409]* &quot;-&quot;??_ ;_-@_ ">
                        <c:v>0</c:v>
                      </c:pt>
                      <c:pt idx="10" formatCode="_-[$$-409]* #,##0_ ;_-[$$-409]* \-#,##0\ ;_-[$$-409]* &quot;-&quot;??_ ;_-@_ ">
                        <c:v>0</c:v>
                      </c:pt>
                      <c:pt idx="11" formatCode="_-[$$-409]* #,##0_ ;_-[$$-409]* \-#,##0\ ;_-[$$-409]* &quot;-&quot;??_ ;_-@_ ">
                        <c:v>0</c:v>
                      </c:pt>
                    </c:numCache>
                  </c:numRef>
                </c:val>
                <c:extLst xmlns:c15="http://schemas.microsoft.com/office/drawing/2012/chart">
                  <c:ext xmlns:c16="http://schemas.microsoft.com/office/drawing/2014/chart" uri="{C3380CC4-5D6E-409C-BE32-E72D297353CC}">
                    <c16:uniqueId val="{00000005-7435-4223-84D3-FADBA42DEEA8}"/>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Ref!$T$36</c15:sqref>
                        </c15:formulaRef>
                      </c:ext>
                    </c:extLst>
                    <c:strCache>
                      <c:ptCount val="1"/>
                      <c:pt idx="0">
                        <c:v>SD WAN</c:v>
                      </c:pt>
                    </c:strCache>
                  </c:strRef>
                </c:tx>
                <c:spPr>
                  <a:solidFill>
                    <a:schemeClr val="accent3"/>
                  </a:solidFill>
                  <a:ln>
                    <a:noFill/>
                  </a:ln>
                  <a:effectLst/>
                </c:spPr>
                <c:invertIfNegative val="0"/>
                <c:cat>
                  <c:numRef>
                    <c:extLst>
                      <c:ext xmlns:c15="http://schemas.microsoft.com/office/drawing/2012/chart" uri="{02D57815-91ED-43cb-92C2-25804820EDAC}">
                        <c15:fullRef>
                          <c15:sqref>Ref!$Q$37:$Q$60</c15:sqref>
                        </c15:fullRef>
                        <c15:formulaRef>
                          <c15:sqref>Ref!$Q$49:$Q$60</c15:sqref>
                        </c15:formulaRef>
                      </c:ext>
                    </c:extLst>
                    <c:numCache>
                      <c:formatCode>mmm\-yy</c:formatCode>
                      <c:ptCount val="12"/>
                      <c:pt idx="0">
                        <c:v>46143</c:v>
                      </c:pt>
                      <c:pt idx="1">
                        <c:v>46113</c:v>
                      </c:pt>
                      <c:pt idx="2">
                        <c:v>46082</c:v>
                      </c:pt>
                      <c:pt idx="3">
                        <c:v>46054</c:v>
                      </c:pt>
                      <c:pt idx="4">
                        <c:v>46023</c:v>
                      </c:pt>
                      <c:pt idx="5">
                        <c:v>45992</c:v>
                      </c:pt>
                      <c:pt idx="6">
                        <c:v>45962</c:v>
                      </c:pt>
                      <c:pt idx="7">
                        <c:v>45931</c:v>
                      </c:pt>
                      <c:pt idx="8">
                        <c:v>45901</c:v>
                      </c:pt>
                      <c:pt idx="9">
                        <c:v>45870</c:v>
                      </c:pt>
                      <c:pt idx="10">
                        <c:v>45839</c:v>
                      </c:pt>
                      <c:pt idx="11">
                        <c:v>45809</c:v>
                      </c:pt>
                    </c:numCache>
                  </c:numRef>
                </c:cat>
                <c:val>
                  <c:numRef>
                    <c:extLst>
                      <c:ext xmlns:c15="http://schemas.microsoft.com/office/drawing/2012/chart" uri="{02D57815-91ED-43cb-92C2-25804820EDAC}">
                        <c15:fullRef>
                          <c15:sqref>Ref!$T$37:$T$60</c15:sqref>
                        </c15:fullRef>
                        <c15:formulaRef>
                          <c15:sqref>Ref!$T$49:$T$60</c15:sqref>
                        </c15:formulaRef>
                      </c:ext>
                    </c:extLst>
                    <c:numCache>
                      <c:formatCode>0</c:formatCode>
                      <c:ptCount val="12"/>
                      <c:pt idx="0" formatCode="_-[$$-409]* #,##0_ ;_-[$$-409]* \-#,##0\ ;_-[$$-409]* &quot;-&quot;??_ ;_-@_ ">
                        <c:v>0</c:v>
                      </c:pt>
                      <c:pt idx="1" formatCode="_-[$$-409]* #,##0_ ;_-[$$-409]* \-#,##0\ ;_-[$$-409]* &quot;-&quot;??_ ;_-@_ ">
                        <c:v>0</c:v>
                      </c:pt>
                      <c:pt idx="2" formatCode="_-[$$-409]* #,##0_ ;_-[$$-409]* \-#,##0\ ;_-[$$-409]* &quot;-&quot;??_ ;_-@_ ">
                        <c:v>0</c:v>
                      </c:pt>
                      <c:pt idx="3" formatCode="_-[$$-409]* #,##0_ ;_-[$$-409]* \-#,##0\ ;_-[$$-409]* &quot;-&quot;??_ ;_-@_ ">
                        <c:v>0</c:v>
                      </c:pt>
                      <c:pt idx="4" formatCode="_-[$$-409]* #,##0_ ;_-[$$-409]* \-#,##0\ ;_-[$$-409]* &quot;-&quot;??_ ;_-@_ ">
                        <c:v>0</c:v>
                      </c:pt>
                      <c:pt idx="5" formatCode="_-[$$-409]* #,##0_ ;_-[$$-409]* \-#,##0\ ;_-[$$-409]* &quot;-&quot;??_ ;_-@_ ">
                        <c:v>0</c:v>
                      </c:pt>
                      <c:pt idx="6" formatCode="_-[$$-409]* #,##0_ ;_-[$$-409]* \-#,##0\ ;_-[$$-409]* &quot;-&quot;??_ ;_-@_ ">
                        <c:v>0</c:v>
                      </c:pt>
                      <c:pt idx="7" formatCode="_-[$$-409]* #,##0_ ;_-[$$-409]* \-#,##0\ ;_-[$$-409]* &quot;-&quot;??_ ;_-@_ ">
                        <c:v>0</c:v>
                      </c:pt>
                      <c:pt idx="8" formatCode="_-[$$-409]* #,##0_ ;_-[$$-409]* \-#,##0\ ;_-[$$-409]* &quot;-&quot;??_ ;_-@_ ">
                        <c:v>0</c:v>
                      </c:pt>
                      <c:pt idx="9" formatCode="_-[$$-409]* #,##0_ ;_-[$$-409]* \-#,##0\ ;_-[$$-409]* &quot;-&quot;??_ ;_-@_ ">
                        <c:v>0</c:v>
                      </c:pt>
                      <c:pt idx="10" formatCode="_-[$$-409]* #,##0_ ;_-[$$-409]* \-#,##0\ ;_-[$$-409]* &quot;-&quot;??_ ;_-@_ ">
                        <c:v>0</c:v>
                      </c:pt>
                      <c:pt idx="11" formatCode="_-[$$-409]* #,##0_ ;_-[$$-409]* \-#,##0\ ;_-[$$-409]* &quot;-&quot;??_ ;_-@_ ">
                        <c:v>0</c:v>
                      </c:pt>
                    </c:numCache>
                  </c:numRef>
                </c:val>
                <c:extLst xmlns:c15="http://schemas.microsoft.com/office/drawing/2012/chart">
                  <c:ext xmlns:c16="http://schemas.microsoft.com/office/drawing/2014/chart" uri="{C3380CC4-5D6E-409C-BE32-E72D297353CC}">
                    <c16:uniqueId val="{00000006-7435-4223-84D3-FADBA42DEEA8}"/>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Ref!$U$36</c15:sqref>
                        </c15:formulaRef>
                      </c:ext>
                    </c:extLst>
                    <c:strCache>
                      <c:ptCount val="1"/>
                      <c:pt idx="0">
                        <c:v>Cisco Secure Network Analytics</c:v>
                      </c:pt>
                    </c:strCache>
                  </c:strRef>
                </c:tx>
                <c:spPr>
                  <a:solidFill>
                    <a:schemeClr val="accent4"/>
                  </a:solidFill>
                  <a:ln>
                    <a:noFill/>
                  </a:ln>
                  <a:effectLst/>
                </c:spPr>
                <c:invertIfNegative val="0"/>
                <c:cat>
                  <c:numRef>
                    <c:extLst>
                      <c:ext xmlns:c15="http://schemas.microsoft.com/office/drawing/2012/chart" uri="{02D57815-91ED-43cb-92C2-25804820EDAC}">
                        <c15:fullRef>
                          <c15:sqref>Ref!$Q$37:$Q$60</c15:sqref>
                        </c15:fullRef>
                        <c15:formulaRef>
                          <c15:sqref>Ref!$Q$49:$Q$60</c15:sqref>
                        </c15:formulaRef>
                      </c:ext>
                    </c:extLst>
                    <c:numCache>
                      <c:formatCode>mmm\-yy</c:formatCode>
                      <c:ptCount val="12"/>
                      <c:pt idx="0">
                        <c:v>46143</c:v>
                      </c:pt>
                      <c:pt idx="1">
                        <c:v>46113</c:v>
                      </c:pt>
                      <c:pt idx="2">
                        <c:v>46082</c:v>
                      </c:pt>
                      <c:pt idx="3">
                        <c:v>46054</c:v>
                      </c:pt>
                      <c:pt idx="4">
                        <c:v>46023</c:v>
                      </c:pt>
                      <c:pt idx="5">
                        <c:v>45992</c:v>
                      </c:pt>
                      <c:pt idx="6">
                        <c:v>45962</c:v>
                      </c:pt>
                      <c:pt idx="7">
                        <c:v>45931</c:v>
                      </c:pt>
                      <c:pt idx="8">
                        <c:v>45901</c:v>
                      </c:pt>
                      <c:pt idx="9">
                        <c:v>45870</c:v>
                      </c:pt>
                      <c:pt idx="10">
                        <c:v>45839</c:v>
                      </c:pt>
                      <c:pt idx="11">
                        <c:v>45809</c:v>
                      </c:pt>
                    </c:numCache>
                  </c:numRef>
                </c:cat>
                <c:val>
                  <c:numRef>
                    <c:extLst>
                      <c:ext xmlns:c15="http://schemas.microsoft.com/office/drawing/2012/chart" uri="{02D57815-91ED-43cb-92C2-25804820EDAC}">
                        <c15:fullRef>
                          <c15:sqref>Ref!$U$37:$U$60</c15:sqref>
                        </c15:fullRef>
                        <c15:formulaRef>
                          <c15:sqref>Ref!$U$49:$U$60</c15:sqref>
                        </c15:formulaRef>
                      </c:ext>
                    </c:extLst>
                    <c:numCache>
                      <c:formatCode>0</c:formatCode>
                      <c:ptCount val="12"/>
                      <c:pt idx="0" formatCode="_-[$$-409]* #,##0_ ;_-[$$-409]* \-#,##0\ ;_-[$$-409]* &quot;-&quot;??_ ;_-@_ ">
                        <c:v>0</c:v>
                      </c:pt>
                      <c:pt idx="1" formatCode="_-[$$-409]* #,##0_ ;_-[$$-409]* \-#,##0\ ;_-[$$-409]* &quot;-&quot;??_ ;_-@_ ">
                        <c:v>0</c:v>
                      </c:pt>
                      <c:pt idx="2" formatCode="_-[$$-409]* #,##0_ ;_-[$$-409]* \-#,##0\ ;_-[$$-409]* &quot;-&quot;??_ ;_-@_ ">
                        <c:v>0</c:v>
                      </c:pt>
                      <c:pt idx="3" formatCode="_-[$$-409]* #,##0_ ;_-[$$-409]* \-#,##0\ ;_-[$$-409]* &quot;-&quot;??_ ;_-@_ ">
                        <c:v>0</c:v>
                      </c:pt>
                      <c:pt idx="4" formatCode="_-[$$-409]* #,##0_ ;_-[$$-409]* \-#,##0\ ;_-[$$-409]* &quot;-&quot;??_ ;_-@_ ">
                        <c:v>0</c:v>
                      </c:pt>
                      <c:pt idx="5" formatCode="_-[$$-409]* #,##0_ ;_-[$$-409]* \-#,##0\ ;_-[$$-409]* &quot;-&quot;??_ ;_-@_ ">
                        <c:v>0</c:v>
                      </c:pt>
                      <c:pt idx="6" formatCode="_-[$$-409]* #,##0_ ;_-[$$-409]* \-#,##0\ ;_-[$$-409]* &quot;-&quot;??_ ;_-@_ ">
                        <c:v>0</c:v>
                      </c:pt>
                      <c:pt idx="7" formatCode="_-[$$-409]* #,##0_ ;_-[$$-409]* \-#,##0\ ;_-[$$-409]* &quot;-&quot;??_ ;_-@_ ">
                        <c:v>0</c:v>
                      </c:pt>
                      <c:pt idx="8" formatCode="_-[$$-409]* #,##0_ ;_-[$$-409]* \-#,##0\ ;_-[$$-409]* &quot;-&quot;??_ ;_-@_ ">
                        <c:v>0</c:v>
                      </c:pt>
                      <c:pt idx="9" formatCode="_-[$$-409]* #,##0_ ;_-[$$-409]* \-#,##0\ ;_-[$$-409]* &quot;-&quot;??_ ;_-@_ ">
                        <c:v>0</c:v>
                      </c:pt>
                      <c:pt idx="10" formatCode="_-[$$-409]* #,##0_ ;_-[$$-409]* \-#,##0\ ;_-[$$-409]* &quot;-&quot;??_ ;_-@_ ">
                        <c:v>0</c:v>
                      </c:pt>
                      <c:pt idx="11" formatCode="_-[$$-409]* #,##0_ ;_-[$$-409]* \-#,##0\ ;_-[$$-409]* &quot;-&quot;??_ ;_-@_ ">
                        <c:v>0</c:v>
                      </c:pt>
                    </c:numCache>
                  </c:numRef>
                </c:val>
                <c:extLst xmlns:c15="http://schemas.microsoft.com/office/drawing/2012/chart">
                  <c:ext xmlns:c16="http://schemas.microsoft.com/office/drawing/2014/chart" uri="{C3380CC4-5D6E-409C-BE32-E72D297353CC}">
                    <c16:uniqueId val="{00000007-7435-4223-84D3-FADBA42DEEA8}"/>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Ref!$V$36</c15:sqref>
                        </c15:formulaRef>
                      </c:ext>
                    </c:extLst>
                    <c:strCache>
                      <c:ptCount val="1"/>
                      <c:pt idx="0">
                        <c:v>Duo</c:v>
                      </c:pt>
                    </c:strCache>
                  </c:strRef>
                </c:tx>
                <c:spPr>
                  <a:solidFill>
                    <a:schemeClr val="accent5"/>
                  </a:solidFill>
                  <a:ln>
                    <a:noFill/>
                  </a:ln>
                  <a:effectLst/>
                </c:spPr>
                <c:invertIfNegative val="0"/>
                <c:cat>
                  <c:numRef>
                    <c:extLst>
                      <c:ext xmlns:c15="http://schemas.microsoft.com/office/drawing/2012/chart" uri="{02D57815-91ED-43cb-92C2-25804820EDAC}">
                        <c15:fullRef>
                          <c15:sqref>Ref!$Q$37:$Q$60</c15:sqref>
                        </c15:fullRef>
                        <c15:formulaRef>
                          <c15:sqref>Ref!$Q$49:$Q$60</c15:sqref>
                        </c15:formulaRef>
                      </c:ext>
                    </c:extLst>
                    <c:numCache>
                      <c:formatCode>mmm\-yy</c:formatCode>
                      <c:ptCount val="12"/>
                      <c:pt idx="0">
                        <c:v>46143</c:v>
                      </c:pt>
                      <c:pt idx="1">
                        <c:v>46113</c:v>
                      </c:pt>
                      <c:pt idx="2">
                        <c:v>46082</c:v>
                      </c:pt>
                      <c:pt idx="3">
                        <c:v>46054</c:v>
                      </c:pt>
                      <c:pt idx="4">
                        <c:v>46023</c:v>
                      </c:pt>
                      <c:pt idx="5">
                        <c:v>45992</c:v>
                      </c:pt>
                      <c:pt idx="6">
                        <c:v>45962</c:v>
                      </c:pt>
                      <c:pt idx="7">
                        <c:v>45931</c:v>
                      </c:pt>
                      <c:pt idx="8">
                        <c:v>45901</c:v>
                      </c:pt>
                      <c:pt idx="9">
                        <c:v>45870</c:v>
                      </c:pt>
                      <c:pt idx="10">
                        <c:v>45839</c:v>
                      </c:pt>
                      <c:pt idx="11">
                        <c:v>45809</c:v>
                      </c:pt>
                    </c:numCache>
                  </c:numRef>
                </c:cat>
                <c:val>
                  <c:numRef>
                    <c:extLst>
                      <c:ext xmlns:c15="http://schemas.microsoft.com/office/drawing/2012/chart" uri="{02D57815-91ED-43cb-92C2-25804820EDAC}">
                        <c15:fullRef>
                          <c15:sqref>Ref!$V$37:$V$60</c15:sqref>
                        </c15:fullRef>
                        <c15:formulaRef>
                          <c15:sqref>Ref!$V$49:$V$60</c15:sqref>
                        </c15:formulaRef>
                      </c:ext>
                    </c:extLst>
                    <c:numCache>
                      <c:formatCode>0</c:formatCode>
                      <c:ptCount val="12"/>
                      <c:pt idx="0" formatCode="_-[$$-409]* #,##0_ ;_-[$$-409]* \-#,##0\ ;_-[$$-409]* &quot;-&quot;??_ ;_-@_ ">
                        <c:v>0</c:v>
                      </c:pt>
                      <c:pt idx="1" formatCode="_-[$$-409]* #,##0_ ;_-[$$-409]* \-#,##0\ ;_-[$$-409]* &quot;-&quot;??_ ;_-@_ ">
                        <c:v>0</c:v>
                      </c:pt>
                      <c:pt idx="2" formatCode="_-[$$-409]* #,##0_ ;_-[$$-409]* \-#,##0\ ;_-[$$-409]* &quot;-&quot;??_ ;_-@_ ">
                        <c:v>0</c:v>
                      </c:pt>
                      <c:pt idx="3" formatCode="_-[$$-409]* #,##0_ ;_-[$$-409]* \-#,##0\ ;_-[$$-409]* &quot;-&quot;??_ ;_-@_ ">
                        <c:v>0</c:v>
                      </c:pt>
                      <c:pt idx="4" formatCode="_-[$$-409]* #,##0_ ;_-[$$-409]* \-#,##0\ ;_-[$$-409]* &quot;-&quot;??_ ;_-@_ ">
                        <c:v>0</c:v>
                      </c:pt>
                      <c:pt idx="5" formatCode="_-[$$-409]* #,##0_ ;_-[$$-409]* \-#,##0\ ;_-[$$-409]* &quot;-&quot;??_ ;_-@_ ">
                        <c:v>0</c:v>
                      </c:pt>
                      <c:pt idx="6" formatCode="_-[$$-409]* #,##0_ ;_-[$$-409]* \-#,##0\ ;_-[$$-409]* &quot;-&quot;??_ ;_-@_ ">
                        <c:v>0</c:v>
                      </c:pt>
                      <c:pt idx="7" formatCode="_-[$$-409]* #,##0_ ;_-[$$-409]* \-#,##0\ ;_-[$$-409]* &quot;-&quot;??_ ;_-@_ ">
                        <c:v>0</c:v>
                      </c:pt>
                      <c:pt idx="8" formatCode="_-[$$-409]* #,##0_ ;_-[$$-409]* \-#,##0\ ;_-[$$-409]* &quot;-&quot;??_ ;_-@_ ">
                        <c:v>0</c:v>
                      </c:pt>
                      <c:pt idx="9" formatCode="_-[$$-409]* #,##0_ ;_-[$$-409]* \-#,##0\ ;_-[$$-409]* &quot;-&quot;??_ ;_-@_ ">
                        <c:v>0</c:v>
                      </c:pt>
                      <c:pt idx="10" formatCode="_-[$$-409]* #,##0_ ;_-[$$-409]* \-#,##0\ ;_-[$$-409]* &quot;-&quot;??_ ;_-@_ ">
                        <c:v>0</c:v>
                      </c:pt>
                      <c:pt idx="11" formatCode="_-[$$-409]* #,##0_ ;_-[$$-409]* \-#,##0\ ;_-[$$-409]* &quot;-&quot;??_ ;_-@_ ">
                        <c:v>0</c:v>
                      </c:pt>
                    </c:numCache>
                  </c:numRef>
                </c:val>
                <c:extLst xmlns:c15="http://schemas.microsoft.com/office/drawing/2012/chart">
                  <c:ext xmlns:c16="http://schemas.microsoft.com/office/drawing/2014/chart" uri="{C3380CC4-5D6E-409C-BE32-E72D297353CC}">
                    <c16:uniqueId val="{00000008-7435-4223-84D3-FADBA42DEEA8}"/>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Ref!$W$36</c15:sqref>
                        </c15:formulaRef>
                      </c:ext>
                    </c:extLst>
                    <c:strCache>
                      <c:ptCount val="1"/>
                      <c:pt idx="0">
                        <c:v>Cisco Umbrella</c:v>
                      </c:pt>
                    </c:strCache>
                  </c:strRef>
                </c:tx>
                <c:spPr>
                  <a:solidFill>
                    <a:schemeClr val="accent6"/>
                  </a:solidFill>
                  <a:ln>
                    <a:noFill/>
                  </a:ln>
                  <a:effectLst/>
                </c:spPr>
                <c:invertIfNegative val="0"/>
                <c:cat>
                  <c:numRef>
                    <c:extLst>
                      <c:ext xmlns:c15="http://schemas.microsoft.com/office/drawing/2012/chart" uri="{02D57815-91ED-43cb-92C2-25804820EDAC}">
                        <c15:fullRef>
                          <c15:sqref>Ref!$Q$37:$Q$60</c15:sqref>
                        </c15:fullRef>
                        <c15:formulaRef>
                          <c15:sqref>Ref!$Q$49:$Q$60</c15:sqref>
                        </c15:formulaRef>
                      </c:ext>
                    </c:extLst>
                    <c:numCache>
                      <c:formatCode>mmm\-yy</c:formatCode>
                      <c:ptCount val="12"/>
                      <c:pt idx="0">
                        <c:v>46143</c:v>
                      </c:pt>
                      <c:pt idx="1">
                        <c:v>46113</c:v>
                      </c:pt>
                      <c:pt idx="2">
                        <c:v>46082</c:v>
                      </c:pt>
                      <c:pt idx="3">
                        <c:v>46054</c:v>
                      </c:pt>
                      <c:pt idx="4">
                        <c:v>46023</c:v>
                      </c:pt>
                      <c:pt idx="5">
                        <c:v>45992</c:v>
                      </c:pt>
                      <c:pt idx="6">
                        <c:v>45962</c:v>
                      </c:pt>
                      <c:pt idx="7">
                        <c:v>45931</c:v>
                      </c:pt>
                      <c:pt idx="8">
                        <c:v>45901</c:v>
                      </c:pt>
                      <c:pt idx="9">
                        <c:v>45870</c:v>
                      </c:pt>
                      <c:pt idx="10">
                        <c:v>45839</c:v>
                      </c:pt>
                      <c:pt idx="11">
                        <c:v>45809</c:v>
                      </c:pt>
                    </c:numCache>
                  </c:numRef>
                </c:cat>
                <c:val>
                  <c:numRef>
                    <c:extLst>
                      <c:ext xmlns:c15="http://schemas.microsoft.com/office/drawing/2012/chart" uri="{02D57815-91ED-43cb-92C2-25804820EDAC}">
                        <c15:fullRef>
                          <c15:sqref>Ref!$W$37:$W$60</c15:sqref>
                        </c15:fullRef>
                        <c15:formulaRef>
                          <c15:sqref>Ref!$W$49:$W$60</c15:sqref>
                        </c15:formulaRef>
                      </c:ext>
                    </c:extLst>
                    <c:numCache>
                      <c:formatCode>0</c:formatCode>
                      <c:ptCount val="12"/>
                      <c:pt idx="0" formatCode="_-[$$-409]* #,##0_ ;_-[$$-409]* \-#,##0\ ;_-[$$-409]* &quot;-&quot;??_ ;_-@_ ">
                        <c:v>0</c:v>
                      </c:pt>
                      <c:pt idx="1" formatCode="_-[$$-409]* #,##0_ ;_-[$$-409]* \-#,##0\ ;_-[$$-409]* &quot;-&quot;??_ ;_-@_ ">
                        <c:v>0</c:v>
                      </c:pt>
                      <c:pt idx="2" formatCode="_-[$$-409]* #,##0_ ;_-[$$-409]* \-#,##0\ ;_-[$$-409]* &quot;-&quot;??_ ;_-@_ ">
                        <c:v>0</c:v>
                      </c:pt>
                      <c:pt idx="3" formatCode="_-[$$-409]* #,##0_ ;_-[$$-409]* \-#,##0\ ;_-[$$-409]* &quot;-&quot;??_ ;_-@_ ">
                        <c:v>0</c:v>
                      </c:pt>
                      <c:pt idx="4" formatCode="_-[$$-409]* #,##0_ ;_-[$$-409]* \-#,##0\ ;_-[$$-409]* &quot;-&quot;??_ ;_-@_ ">
                        <c:v>0</c:v>
                      </c:pt>
                      <c:pt idx="5" formatCode="_-[$$-409]* #,##0_ ;_-[$$-409]* \-#,##0\ ;_-[$$-409]* &quot;-&quot;??_ ;_-@_ ">
                        <c:v>0</c:v>
                      </c:pt>
                      <c:pt idx="6" formatCode="_-[$$-409]* #,##0_ ;_-[$$-409]* \-#,##0\ ;_-[$$-409]* &quot;-&quot;??_ ;_-@_ ">
                        <c:v>0</c:v>
                      </c:pt>
                      <c:pt idx="7" formatCode="_-[$$-409]* #,##0_ ;_-[$$-409]* \-#,##0\ ;_-[$$-409]* &quot;-&quot;??_ ;_-@_ ">
                        <c:v>0</c:v>
                      </c:pt>
                      <c:pt idx="8" formatCode="_-[$$-409]* #,##0_ ;_-[$$-409]* \-#,##0\ ;_-[$$-409]* &quot;-&quot;??_ ;_-@_ ">
                        <c:v>0</c:v>
                      </c:pt>
                      <c:pt idx="9" formatCode="_-[$$-409]* #,##0_ ;_-[$$-409]* \-#,##0\ ;_-[$$-409]* &quot;-&quot;??_ ;_-@_ ">
                        <c:v>0</c:v>
                      </c:pt>
                      <c:pt idx="10" formatCode="_-[$$-409]* #,##0_ ;_-[$$-409]* \-#,##0\ ;_-[$$-409]* &quot;-&quot;??_ ;_-@_ ">
                        <c:v>0</c:v>
                      </c:pt>
                      <c:pt idx="11" formatCode="_-[$$-409]* #,##0_ ;_-[$$-409]* \-#,##0\ ;_-[$$-409]* &quot;-&quot;??_ ;_-@_ ">
                        <c:v>0</c:v>
                      </c:pt>
                    </c:numCache>
                  </c:numRef>
                </c:val>
                <c:extLst xmlns:c15="http://schemas.microsoft.com/office/drawing/2012/chart">
                  <c:ext xmlns:c16="http://schemas.microsoft.com/office/drawing/2014/chart" uri="{C3380CC4-5D6E-409C-BE32-E72D297353CC}">
                    <c16:uniqueId val="{00000009-7435-4223-84D3-FADBA42DEEA8}"/>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Ref!$X$36</c15:sqref>
                        </c15:formulaRef>
                      </c:ext>
                    </c:extLst>
                    <c:strCache>
                      <c:ptCount val="1"/>
                      <c:pt idx="0">
                        <c:v>Cisco Secure Firewall</c:v>
                      </c:pt>
                    </c:strCache>
                  </c:strRef>
                </c:tx>
                <c:spPr>
                  <a:solidFill>
                    <a:schemeClr val="accent1">
                      <a:lumMod val="60000"/>
                    </a:schemeClr>
                  </a:solidFill>
                  <a:ln>
                    <a:noFill/>
                  </a:ln>
                  <a:effectLst/>
                </c:spPr>
                <c:invertIfNegative val="0"/>
                <c:cat>
                  <c:numRef>
                    <c:extLst>
                      <c:ext xmlns:c15="http://schemas.microsoft.com/office/drawing/2012/chart" uri="{02D57815-91ED-43cb-92C2-25804820EDAC}">
                        <c15:fullRef>
                          <c15:sqref>Ref!$Q$37:$Q$60</c15:sqref>
                        </c15:fullRef>
                        <c15:formulaRef>
                          <c15:sqref>Ref!$Q$49:$Q$60</c15:sqref>
                        </c15:formulaRef>
                      </c:ext>
                    </c:extLst>
                    <c:numCache>
                      <c:formatCode>mmm\-yy</c:formatCode>
                      <c:ptCount val="12"/>
                      <c:pt idx="0">
                        <c:v>46143</c:v>
                      </c:pt>
                      <c:pt idx="1">
                        <c:v>46113</c:v>
                      </c:pt>
                      <c:pt idx="2">
                        <c:v>46082</c:v>
                      </c:pt>
                      <c:pt idx="3">
                        <c:v>46054</c:v>
                      </c:pt>
                      <c:pt idx="4">
                        <c:v>46023</c:v>
                      </c:pt>
                      <c:pt idx="5">
                        <c:v>45992</c:v>
                      </c:pt>
                      <c:pt idx="6">
                        <c:v>45962</c:v>
                      </c:pt>
                      <c:pt idx="7">
                        <c:v>45931</c:v>
                      </c:pt>
                      <c:pt idx="8">
                        <c:v>45901</c:v>
                      </c:pt>
                      <c:pt idx="9">
                        <c:v>45870</c:v>
                      </c:pt>
                      <c:pt idx="10">
                        <c:v>45839</c:v>
                      </c:pt>
                      <c:pt idx="11">
                        <c:v>45809</c:v>
                      </c:pt>
                    </c:numCache>
                  </c:numRef>
                </c:cat>
                <c:val>
                  <c:numRef>
                    <c:extLst>
                      <c:ext xmlns:c15="http://schemas.microsoft.com/office/drawing/2012/chart" uri="{02D57815-91ED-43cb-92C2-25804820EDAC}">
                        <c15:fullRef>
                          <c15:sqref>Ref!$X$37:$X$60</c15:sqref>
                        </c15:fullRef>
                        <c15:formulaRef>
                          <c15:sqref>Ref!$X$49:$X$60</c15:sqref>
                        </c15:formulaRef>
                      </c:ext>
                    </c:extLst>
                    <c:numCache>
                      <c:formatCode>0</c:formatCode>
                      <c:ptCount val="12"/>
                      <c:pt idx="0" formatCode="_-[$$-409]* #,##0_ ;_-[$$-409]* \-#,##0\ ;_-[$$-409]* &quot;-&quot;??_ ;_-@_ ">
                        <c:v>0</c:v>
                      </c:pt>
                      <c:pt idx="1" formatCode="_-[$$-409]* #,##0_ ;_-[$$-409]* \-#,##0\ ;_-[$$-409]* &quot;-&quot;??_ ;_-@_ ">
                        <c:v>0</c:v>
                      </c:pt>
                      <c:pt idx="2" formatCode="_-[$$-409]* #,##0_ ;_-[$$-409]* \-#,##0\ ;_-[$$-409]* &quot;-&quot;??_ ;_-@_ ">
                        <c:v>0</c:v>
                      </c:pt>
                      <c:pt idx="3" formatCode="_-[$$-409]* #,##0_ ;_-[$$-409]* \-#,##0\ ;_-[$$-409]* &quot;-&quot;??_ ;_-@_ ">
                        <c:v>0</c:v>
                      </c:pt>
                      <c:pt idx="4" formatCode="_-[$$-409]* #,##0_ ;_-[$$-409]* \-#,##0\ ;_-[$$-409]* &quot;-&quot;??_ ;_-@_ ">
                        <c:v>0</c:v>
                      </c:pt>
                      <c:pt idx="5" formatCode="_-[$$-409]* #,##0_ ;_-[$$-409]* \-#,##0\ ;_-[$$-409]* &quot;-&quot;??_ ;_-@_ ">
                        <c:v>0</c:v>
                      </c:pt>
                      <c:pt idx="6" formatCode="_-[$$-409]* #,##0_ ;_-[$$-409]* \-#,##0\ ;_-[$$-409]* &quot;-&quot;??_ ;_-@_ ">
                        <c:v>0</c:v>
                      </c:pt>
                      <c:pt idx="7" formatCode="_-[$$-409]* #,##0_ ;_-[$$-409]* \-#,##0\ ;_-[$$-409]* &quot;-&quot;??_ ;_-@_ ">
                        <c:v>0</c:v>
                      </c:pt>
                      <c:pt idx="8" formatCode="_-[$$-409]* #,##0_ ;_-[$$-409]* \-#,##0\ ;_-[$$-409]* &quot;-&quot;??_ ;_-@_ ">
                        <c:v>0</c:v>
                      </c:pt>
                      <c:pt idx="9" formatCode="_-[$$-409]* #,##0_ ;_-[$$-409]* \-#,##0\ ;_-[$$-409]* &quot;-&quot;??_ ;_-@_ ">
                        <c:v>0</c:v>
                      </c:pt>
                      <c:pt idx="10" formatCode="_-[$$-409]* #,##0_ ;_-[$$-409]* \-#,##0\ ;_-[$$-409]* &quot;-&quot;??_ ;_-@_ ">
                        <c:v>0</c:v>
                      </c:pt>
                      <c:pt idx="11" formatCode="_-[$$-409]* #,##0_ ;_-[$$-409]* \-#,##0\ ;_-[$$-409]* &quot;-&quot;??_ ;_-@_ ">
                        <c:v>0</c:v>
                      </c:pt>
                    </c:numCache>
                  </c:numRef>
                </c:val>
                <c:extLst xmlns:c15="http://schemas.microsoft.com/office/drawing/2012/chart">
                  <c:ext xmlns:c16="http://schemas.microsoft.com/office/drawing/2014/chart" uri="{C3380CC4-5D6E-409C-BE32-E72D297353CC}">
                    <c16:uniqueId val="{0000000A-7435-4223-84D3-FADBA42DEEA8}"/>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Ref!$Y$36</c15:sqref>
                        </c15:formulaRef>
                      </c:ext>
                    </c:extLst>
                    <c:strCache>
                      <c:ptCount val="1"/>
                      <c:pt idx="0">
                        <c:v>Identity Services Engine</c:v>
                      </c:pt>
                    </c:strCache>
                  </c:strRef>
                </c:tx>
                <c:spPr>
                  <a:solidFill>
                    <a:schemeClr val="accent2">
                      <a:lumMod val="60000"/>
                    </a:schemeClr>
                  </a:solidFill>
                  <a:ln>
                    <a:noFill/>
                  </a:ln>
                  <a:effectLst/>
                </c:spPr>
                <c:invertIfNegative val="0"/>
                <c:cat>
                  <c:numRef>
                    <c:extLst>
                      <c:ext xmlns:c15="http://schemas.microsoft.com/office/drawing/2012/chart" uri="{02D57815-91ED-43cb-92C2-25804820EDAC}">
                        <c15:fullRef>
                          <c15:sqref>Ref!$Q$37:$Q$60</c15:sqref>
                        </c15:fullRef>
                        <c15:formulaRef>
                          <c15:sqref>Ref!$Q$49:$Q$60</c15:sqref>
                        </c15:formulaRef>
                      </c:ext>
                    </c:extLst>
                    <c:numCache>
                      <c:formatCode>mmm\-yy</c:formatCode>
                      <c:ptCount val="12"/>
                      <c:pt idx="0">
                        <c:v>46143</c:v>
                      </c:pt>
                      <c:pt idx="1">
                        <c:v>46113</c:v>
                      </c:pt>
                      <c:pt idx="2">
                        <c:v>46082</c:v>
                      </c:pt>
                      <c:pt idx="3">
                        <c:v>46054</c:v>
                      </c:pt>
                      <c:pt idx="4">
                        <c:v>46023</c:v>
                      </c:pt>
                      <c:pt idx="5">
                        <c:v>45992</c:v>
                      </c:pt>
                      <c:pt idx="6">
                        <c:v>45962</c:v>
                      </c:pt>
                      <c:pt idx="7">
                        <c:v>45931</c:v>
                      </c:pt>
                      <c:pt idx="8">
                        <c:v>45901</c:v>
                      </c:pt>
                      <c:pt idx="9">
                        <c:v>45870</c:v>
                      </c:pt>
                      <c:pt idx="10">
                        <c:v>45839</c:v>
                      </c:pt>
                      <c:pt idx="11">
                        <c:v>45809</c:v>
                      </c:pt>
                    </c:numCache>
                  </c:numRef>
                </c:cat>
                <c:val>
                  <c:numRef>
                    <c:extLst>
                      <c:ext xmlns:c15="http://schemas.microsoft.com/office/drawing/2012/chart" uri="{02D57815-91ED-43cb-92C2-25804820EDAC}">
                        <c15:fullRef>
                          <c15:sqref>Ref!$Y$37:$Y$60</c15:sqref>
                        </c15:fullRef>
                        <c15:formulaRef>
                          <c15:sqref>Ref!$Y$49:$Y$60</c15:sqref>
                        </c15:formulaRef>
                      </c:ext>
                    </c:extLst>
                    <c:numCache>
                      <c:formatCode>0</c:formatCode>
                      <c:ptCount val="12"/>
                      <c:pt idx="0" formatCode="_-[$$-409]* #,##0_ ;_-[$$-409]* \-#,##0\ ;_-[$$-409]* &quot;-&quot;??_ ;_-@_ ">
                        <c:v>0</c:v>
                      </c:pt>
                      <c:pt idx="1" formatCode="_-[$$-409]* #,##0_ ;_-[$$-409]* \-#,##0\ ;_-[$$-409]* &quot;-&quot;??_ ;_-@_ ">
                        <c:v>0</c:v>
                      </c:pt>
                      <c:pt idx="2" formatCode="_-[$$-409]* #,##0_ ;_-[$$-409]* \-#,##0\ ;_-[$$-409]* &quot;-&quot;??_ ;_-@_ ">
                        <c:v>0</c:v>
                      </c:pt>
                      <c:pt idx="3" formatCode="_-[$$-409]* #,##0_ ;_-[$$-409]* \-#,##0\ ;_-[$$-409]* &quot;-&quot;??_ ;_-@_ ">
                        <c:v>0</c:v>
                      </c:pt>
                      <c:pt idx="4" formatCode="_-[$$-409]* #,##0_ ;_-[$$-409]* \-#,##0\ ;_-[$$-409]* &quot;-&quot;??_ ;_-@_ ">
                        <c:v>0</c:v>
                      </c:pt>
                      <c:pt idx="5" formatCode="_-[$$-409]* #,##0_ ;_-[$$-409]* \-#,##0\ ;_-[$$-409]* &quot;-&quot;??_ ;_-@_ ">
                        <c:v>0</c:v>
                      </c:pt>
                      <c:pt idx="6" formatCode="_-[$$-409]* #,##0_ ;_-[$$-409]* \-#,##0\ ;_-[$$-409]* &quot;-&quot;??_ ;_-@_ ">
                        <c:v>0</c:v>
                      </c:pt>
                      <c:pt idx="7" formatCode="_-[$$-409]* #,##0_ ;_-[$$-409]* \-#,##0\ ;_-[$$-409]* &quot;-&quot;??_ ;_-@_ ">
                        <c:v>0</c:v>
                      </c:pt>
                      <c:pt idx="8" formatCode="_-[$$-409]* #,##0_ ;_-[$$-409]* \-#,##0\ ;_-[$$-409]* &quot;-&quot;??_ ;_-@_ ">
                        <c:v>0</c:v>
                      </c:pt>
                      <c:pt idx="9" formatCode="_-[$$-409]* #,##0_ ;_-[$$-409]* \-#,##0\ ;_-[$$-409]* &quot;-&quot;??_ ;_-@_ ">
                        <c:v>0</c:v>
                      </c:pt>
                      <c:pt idx="10" formatCode="_-[$$-409]* #,##0_ ;_-[$$-409]* \-#,##0\ ;_-[$$-409]* &quot;-&quot;??_ ;_-@_ ">
                        <c:v>0</c:v>
                      </c:pt>
                      <c:pt idx="11" formatCode="_-[$$-409]* #,##0_ ;_-[$$-409]* \-#,##0\ ;_-[$$-409]* &quot;-&quot;??_ ;_-@_ ">
                        <c:v>0</c:v>
                      </c:pt>
                    </c:numCache>
                  </c:numRef>
                </c:val>
                <c:extLst xmlns:c15="http://schemas.microsoft.com/office/drawing/2012/chart">
                  <c:ext xmlns:c16="http://schemas.microsoft.com/office/drawing/2014/chart" uri="{C3380CC4-5D6E-409C-BE32-E72D297353CC}">
                    <c16:uniqueId val="{0000000B-7435-4223-84D3-FADBA42DEEA8}"/>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Ref!$Z$36</c15:sqref>
                        </c15:formulaRef>
                      </c:ext>
                    </c:extLst>
                    <c:strCache>
                      <c:ptCount val="1"/>
                      <c:pt idx="0">
                        <c:v>Cisco Intersight</c:v>
                      </c:pt>
                    </c:strCache>
                  </c:strRef>
                </c:tx>
                <c:spPr>
                  <a:solidFill>
                    <a:schemeClr val="accent3">
                      <a:lumMod val="60000"/>
                    </a:schemeClr>
                  </a:solidFill>
                  <a:ln>
                    <a:noFill/>
                  </a:ln>
                  <a:effectLst/>
                </c:spPr>
                <c:invertIfNegative val="0"/>
                <c:cat>
                  <c:numRef>
                    <c:extLst>
                      <c:ext xmlns:c15="http://schemas.microsoft.com/office/drawing/2012/chart" uri="{02D57815-91ED-43cb-92C2-25804820EDAC}">
                        <c15:fullRef>
                          <c15:sqref>Ref!$Q$37:$Q$60</c15:sqref>
                        </c15:fullRef>
                        <c15:formulaRef>
                          <c15:sqref>Ref!$Q$49:$Q$60</c15:sqref>
                        </c15:formulaRef>
                      </c:ext>
                    </c:extLst>
                    <c:numCache>
                      <c:formatCode>mmm\-yy</c:formatCode>
                      <c:ptCount val="12"/>
                      <c:pt idx="0">
                        <c:v>46143</c:v>
                      </c:pt>
                      <c:pt idx="1">
                        <c:v>46113</c:v>
                      </c:pt>
                      <c:pt idx="2">
                        <c:v>46082</c:v>
                      </c:pt>
                      <c:pt idx="3">
                        <c:v>46054</c:v>
                      </c:pt>
                      <c:pt idx="4">
                        <c:v>46023</c:v>
                      </c:pt>
                      <c:pt idx="5">
                        <c:v>45992</c:v>
                      </c:pt>
                      <c:pt idx="6">
                        <c:v>45962</c:v>
                      </c:pt>
                      <c:pt idx="7">
                        <c:v>45931</c:v>
                      </c:pt>
                      <c:pt idx="8">
                        <c:v>45901</c:v>
                      </c:pt>
                      <c:pt idx="9">
                        <c:v>45870</c:v>
                      </c:pt>
                      <c:pt idx="10">
                        <c:v>45839</c:v>
                      </c:pt>
                      <c:pt idx="11">
                        <c:v>45809</c:v>
                      </c:pt>
                    </c:numCache>
                  </c:numRef>
                </c:cat>
                <c:val>
                  <c:numRef>
                    <c:extLst>
                      <c:ext xmlns:c15="http://schemas.microsoft.com/office/drawing/2012/chart" uri="{02D57815-91ED-43cb-92C2-25804820EDAC}">
                        <c15:fullRef>
                          <c15:sqref>Ref!$Z$37:$Z$60</c15:sqref>
                        </c15:fullRef>
                        <c15:formulaRef>
                          <c15:sqref>Ref!$Z$49:$Z$60</c15:sqref>
                        </c15:formulaRef>
                      </c:ext>
                    </c:extLst>
                    <c:numCache>
                      <c:formatCode>0</c:formatCode>
                      <c:ptCount val="12"/>
                      <c:pt idx="0" formatCode="_-[$$-409]* #,##0_ ;_-[$$-409]* \-#,##0\ ;_-[$$-409]* &quot;-&quot;??_ ;_-@_ ">
                        <c:v>0</c:v>
                      </c:pt>
                      <c:pt idx="1" formatCode="_-[$$-409]* #,##0_ ;_-[$$-409]* \-#,##0\ ;_-[$$-409]* &quot;-&quot;??_ ;_-@_ ">
                        <c:v>0</c:v>
                      </c:pt>
                      <c:pt idx="2" formatCode="_-[$$-409]* #,##0_ ;_-[$$-409]* \-#,##0\ ;_-[$$-409]* &quot;-&quot;??_ ;_-@_ ">
                        <c:v>0</c:v>
                      </c:pt>
                      <c:pt idx="3" formatCode="_-[$$-409]* #,##0_ ;_-[$$-409]* \-#,##0\ ;_-[$$-409]* &quot;-&quot;??_ ;_-@_ ">
                        <c:v>0</c:v>
                      </c:pt>
                      <c:pt idx="4" formatCode="_-[$$-409]* #,##0_ ;_-[$$-409]* \-#,##0\ ;_-[$$-409]* &quot;-&quot;??_ ;_-@_ ">
                        <c:v>0</c:v>
                      </c:pt>
                      <c:pt idx="5" formatCode="_-[$$-409]* #,##0_ ;_-[$$-409]* \-#,##0\ ;_-[$$-409]* &quot;-&quot;??_ ;_-@_ ">
                        <c:v>0</c:v>
                      </c:pt>
                      <c:pt idx="6" formatCode="_-[$$-409]* #,##0_ ;_-[$$-409]* \-#,##0\ ;_-[$$-409]* &quot;-&quot;??_ ;_-@_ ">
                        <c:v>0</c:v>
                      </c:pt>
                      <c:pt idx="7" formatCode="_-[$$-409]* #,##0_ ;_-[$$-409]* \-#,##0\ ;_-[$$-409]* &quot;-&quot;??_ ;_-@_ ">
                        <c:v>0</c:v>
                      </c:pt>
                      <c:pt idx="8" formatCode="_-[$$-409]* #,##0_ ;_-[$$-409]* \-#,##0\ ;_-[$$-409]* &quot;-&quot;??_ ;_-@_ ">
                        <c:v>0</c:v>
                      </c:pt>
                      <c:pt idx="9" formatCode="_-[$$-409]* #,##0_ ;_-[$$-409]* \-#,##0\ ;_-[$$-409]* &quot;-&quot;??_ ;_-@_ ">
                        <c:v>0</c:v>
                      </c:pt>
                      <c:pt idx="10" formatCode="_-[$$-409]* #,##0_ ;_-[$$-409]* \-#,##0\ ;_-[$$-409]* &quot;-&quot;??_ ;_-@_ ">
                        <c:v>0</c:v>
                      </c:pt>
                      <c:pt idx="11" formatCode="_-[$$-409]* #,##0_ ;_-[$$-409]* \-#,##0\ ;_-[$$-409]* &quot;-&quot;??_ ;_-@_ ">
                        <c:v>0</c:v>
                      </c:pt>
                    </c:numCache>
                  </c:numRef>
                </c:val>
                <c:extLst xmlns:c15="http://schemas.microsoft.com/office/drawing/2012/chart">
                  <c:ext xmlns:c16="http://schemas.microsoft.com/office/drawing/2014/chart" uri="{C3380CC4-5D6E-409C-BE32-E72D297353CC}">
                    <c16:uniqueId val="{0000000C-7435-4223-84D3-FADBA42DEEA8}"/>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Ref!$AA$36</c15:sqref>
                        </c15:formulaRef>
                      </c:ext>
                    </c:extLst>
                    <c:strCache>
                      <c:ptCount val="1"/>
                      <c:pt idx="0">
                        <c:v>Data Center Networking</c:v>
                      </c:pt>
                    </c:strCache>
                  </c:strRef>
                </c:tx>
                <c:spPr>
                  <a:solidFill>
                    <a:schemeClr val="accent4">
                      <a:lumMod val="60000"/>
                    </a:schemeClr>
                  </a:solidFill>
                  <a:ln>
                    <a:noFill/>
                  </a:ln>
                  <a:effectLst/>
                </c:spPr>
                <c:invertIfNegative val="0"/>
                <c:cat>
                  <c:numRef>
                    <c:extLst>
                      <c:ext xmlns:c15="http://schemas.microsoft.com/office/drawing/2012/chart" uri="{02D57815-91ED-43cb-92C2-25804820EDAC}">
                        <c15:fullRef>
                          <c15:sqref>Ref!$Q$37:$Q$60</c15:sqref>
                        </c15:fullRef>
                        <c15:formulaRef>
                          <c15:sqref>Ref!$Q$49:$Q$60</c15:sqref>
                        </c15:formulaRef>
                      </c:ext>
                    </c:extLst>
                    <c:numCache>
                      <c:formatCode>mmm\-yy</c:formatCode>
                      <c:ptCount val="12"/>
                      <c:pt idx="0">
                        <c:v>46143</c:v>
                      </c:pt>
                      <c:pt idx="1">
                        <c:v>46113</c:v>
                      </c:pt>
                      <c:pt idx="2">
                        <c:v>46082</c:v>
                      </c:pt>
                      <c:pt idx="3">
                        <c:v>46054</c:v>
                      </c:pt>
                      <c:pt idx="4">
                        <c:v>46023</c:v>
                      </c:pt>
                      <c:pt idx="5">
                        <c:v>45992</c:v>
                      </c:pt>
                      <c:pt idx="6">
                        <c:v>45962</c:v>
                      </c:pt>
                      <c:pt idx="7">
                        <c:v>45931</c:v>
                      </c:pt>
                      <c:pt idx="8">
                        <c:v>45901</c:v>
                      </c:pt>
                      <c:pt idx="9">
                        <c:v>45870</c:v>
                      </c:pt>
                      <c:pt idx="10">
                        <c:v>45839</c:v>
                      </c:pt>
                      <c:pt idx="11">
                        <c:v>45809</c:v>
                      </c:pt>
                    </c:numCache>
                  </c:numRef>
                </c:cat>
                <c:val>
                  <c:numRef>
                    <c:extLst>
                      <c:ext xmlns:c15="http://schemas.microsoft.com/office/drawing/2012/chart" uri="{02D57815-91ED-43cb-92C2-25804820EDAC}">
                        <c15:fullRef>
                          <c15:sqref>Ref!$AA$37:$AA$60</c15:sqref>
                        </c15:fullRef>
                        <c15:formulaRef>
                          <c15:sqref>Ref!$AA$49:$AA$60</c15:sqref>
                        </c15:formulaRef>
                      </c:ext>
                    </c:extLst>
                    <c:numCache>
                      <c:formatCode>0</c:formatCode>
                      <c:ptCount val="12"/>
                      <c:pt idx="0" formatCode="_-[$$-409]* #,##0_ ;_-[$$-409]* \-#,##0\ ;_-[$$-409]* &quot;-&quot;??_ ;_-@_ ">
                        <c:v>0</c:v>
                      </c:pt>
                      <c:pt idx="1" formatCode="_-[$$-409]* #,##0_ ;_-[$$-409]* \-#,##0\ ;_-[$$-409]* &quot;-&quot;??_ ;_-@_ ">
                        <c:v>0</c:v>
                      </c:pt>
                      <c:pt idx="2" formatCode="_-[$$-409]* #,##0_ ;_-[$$-409]* \-#,##0\ ;_-[$$-409]* &quot;-&quot;??_ ;_-@_ ">
                        <c:v>0</c:v>
                      </c:pt>
                      <c:pt idx="3" formatCode="_-[$$-409]* #,##0_ ;_-[$$-409]* \-#,##0\ ;_-[$$-409]* &quot;-&quot;??_ ;_-@_ ">
                        <c:v>0</c:v>
                      </c:pt>
                      <c:pt idx="4" formatCode="_-[$$-409]* #,##0_ ;_-[$$-409]* \-#,##0\ ;_-[$$-409]* &quot;-&quot;??_ ;_-@_ ">
                        <c:v>0</c:v>
                      </c:pt>
                      <c:pt idx="5" formatCode="_-[$$-409]* #,##0_ ;_-[$$-409]* \-#,##0\ ;_-[$$-409]* &quot;-&quot;??_ ;_-@_ ">
                        <c:v>0</c:v>
                      </c:pt>
                      <c:pt idx="6" formatCode="_-[$$-409]* #,##0_ ;_-[$$-409]* \-#,##0\ ;_-[$$-409]* &quot;-&quot;??_ ;_-@_ ">
                        <c:v>0</c:v>
                      </c:pt>
                      <c:pt idx="7" formatCode="_-[$$-409]* #,##0_ ;_-[$$-409]* \-#,##0\ ;_-[$$-409]* &quot;-&quot;??_ ;_-@_ ">
                        <c:v>0</c:v>
                      </c:pt>
                      <c:pt idx="8" formatCode="_-[$$-409]* #,##0_ ;_-[$$-409]* \-#,##0\ ;_-[$$-409]* &quot;-&quot;??_ ;_-@_ ">
                        <c:v>0</c:v>
                      </c:pt>
                      <c:pt idx="9" formatCode="_-[$$-409]* #,##0_ ;_-[$$-409]* \-#,##0\ ;_-[$$-409]* &quot;-&quot;??_ ;_-@_ ">
                        <c:v>0</c:v>
                      </c:pt>
                      <c:pt idx="10" formatCode="_-[$$-409]* #,##0_ ;_-[$$-409]* \-#,##0\ ;_-[$$-409]* &quot;-&quot;??_ ;_-@_ ">
                        <c:v>0</c:v>
                      </c:pt>
                      <c:pt idx="11" formatCode="_-[$$-409]* #,##0_ ;_-[$$-409]* \-#,##0\ ;_-[$$-409]* &quot;-&quot;??_ ;_-@_ ">
                        <c:v>0</c:v>
                      </c:pt>
                    </c:numCache>
                  </c:numRef>
                </c:val>
                <c:extLst xmlns:c15="http://schemas.microsoft.com/office/drawing/2012/chart">
                  <c:ext xmlns:c16="http://schemas.microsoft.com/office/drawing/2014/chart" uri="{C3380CC4-5D6E-409C-BE32-E72D297353CC}">
                    <c16:uniqueId val="{0000000D-7435-4223-84D3-FADBA42DEEA8}"/>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Ref!$AB$36</c15:sqref>
                        </c15:formulaRef>
                      </c:ext>
                    </c:extLst>
                    <c:strCache>
                      <c:ptCount val="1"/>
                      <c:pt idx="0">
                        <c:v>Webex Suite</c:v>
                      </c:pt>
                    </c:strCache>
                  </c:strRef>
                </c:tx>
                <c:spPr>
                  <a:solidFill>
                    <a:schemeClr val="accent5">
                      <a:lumMod val="60000"/>
                    </a:schemeClr>
                  </a:solidFill>
                  <a:ln>
                    <a:noFill/>
                  </a:ln>
                  <a:effectLst/>
                </c:spPr>
                <c:invertIfNegative val="0"/>
                <c:cat>
                  <c:numRef>
                    <c:extLst>
                      <c:ext xmlns:c15="http://schemas.microsoft.com/office/drawing/2012/chart" uri="{02D57815-91ED-43cb-92C2-25804820EDAC}">
                        <c15:fullRef>
                          <c15:sqref>Ref!$Q$37:$Q$60</c15:sqref>
                        </c15:fullRef>
                        <c15:formulaRef>
                          <c15:sqref>Ref!$Q$49:$Q$60</c15:sqref>
                        </c15:formulaRef>
                      </c:ext>
                    </c:extLst>
                    <c:numCache>
                      <c:formatCode>mmm\-yy</c:formatCode>
                      <c:ptCount val="12"/>
                      <c:pt idx="0">
                        <c:v>46143</c:v>
                      </c:pt>
                      <c:pt idx="1">
                        <c:v>46113</c:v>
                      </c:pt>
                      <c:pt idx="2">
                        <c:v>46082</c:v>
                      </c:pt>
                      <c:pt idx="3">
                        <c:v>46054</c:v>
                      </c:pt>
                      <c:pt idx="4">
                        <c:v>46023</c:v>
                      </c:pt>
                      <c:pt idx="5">
                        <c:v>45992</c:v>
                      </c:pt>
                      <c:pt idx="6">
                        <c:v>45962</c:v>
                      </c:pt>
                      <c:pt idx="7">
                        <c:v>45931</c:v>
                      </c:pt>
                      <c:pt idx="8">
                        <c:v>45901</c:v>
                      </c:pt>
                      <c:pt idx="9">
                        <c:v>45870</c:v>
                      </c:pt>
                      <c:pt idx="10">
                        <c:v>45839</c:v>
                      </c:pt>
                      <c:pt idx="11">
                        <c:v>45809</c:v>
                      </c:pt>
                    </c:numCache>
                  </c:numRef>
                </c:cat>
                <c:val>
                  <c:numRef>
                    <c:extLst>
                      <c:ext xmlns:c15="http://schemas.microsoft.com/office/drawing/2012/chart" uri="{02D57815-91ED-43cb-92C2-25804820EDAC}">
                        <c15:fullRef>
                          <c15:sqref>Ref!$AB$37:$AB$60</c15:sqref>
                        </c15:fullRef>
                        <c15:formulaRef>
                          <c15:sqref>Ref!$AB$49:$AB$60</c15:sqref>
                        </c15:formulaRef>
                      </c:ext>
                    </c:extLst>
                    <c:numCache>
                      <c:formatCode>0</c:formatCode>
                      <c:ptCount val="12"/>
                      <c:pt idx="0" formatCode="_-[$$-409]* #,##0_ ;_-[$$-409]* \-#,##0\ ;_-[$$-409]* &quot;-&quot;??_ ;_-@_ ">
                        <c:v>0</c:v>
                      </c:pt>
                      <c:pt idx="1" formatCode="_-[$$-409]* #,##0_ ;_-[$$-409]* \-#,##0\ ;_-[$$-409]* &quot;-&quot;??_ ;_-@_ ">
                        <c:v>0</c:v>
                      </c:pt>
                      <c:pt idx="2" formatCode="_-[$$-409]* #,##0_ ;_-[$$-409]* \-#,##0\ ;_-[$$-409]* &quot;-&quot;??_ ;_-@_ ">
                        <c:v>0</c:v>
                      </c:pt>
                      <c:pt idx="3" formatCode="_-[$$-409]* #,##0_ ;_-[$$-409]* \-#,##0\ ;_-[$$-409]* &quot;-&quot;??_ ;_-@_ ">
                        <c:v>0</c:v>
                      </c:pt>
                      <c:pt idx="4" formatCode="_-[$$-409]* #,##0_ ;_-[$$-409]* \-#,##0\ ;_-[$$-409]* &quot;-&quot;??_ ;_-@_ ">
                        <c:v>0</c:v>
                      </c:pt>
                      <c:pt idx="5" formatCode="_-[$$-409]* #,##0_ ;_-[$$-409]* \-#,##0\ ;_-[$$-409]* &quot;-&quot;??_ ;_-@_ ">
                        <c:v>0</c:v>
                      </c:pt>
                      <c:pt idx="6" formatCode="_-[$$-409]* #,##0_ ;_-[$$-409]* \-#,##0\ ;_-[$$-409]* &quot;-&quot;??_ ;_-@_ ">
                        <c:v>0</c:v>
                      </c:pt>
                      <c:pt idx="7" formatCode="_-[$$-409]* #,##0_ ;_-[$$-409]* \-#,##0\ ;_-[$$-409]* &quot;-&quot;??_ ;_-@_ ">
                        <c:v>0</c:v>
                      </c:pt>
                      <c:pt idx="8" formatCode="_-[$$-409]* #,##0_ ;_-[$$-409]* \-#,##0\ ;_-[$$-409]* &quot;-&quot;??_ ;_-@_ ">
                        <c:v>0</c:v>
                      </c:pt>
                      <c:pt idx="9" formatCode="_-[$$-409]* #,##0_ ;_-[$$-409]* \-#,##0\ ;_-[$$-409]* &quot;-&quot;??_ ;_-@_ ">
                        <c:v>0</c:v>
                      </c:pt>
                      <c:pt idx="10" formatCode="_-[$$-409]* #,##0_ ;_-[$$-409]* \-#,##0\ ;_-[$$-409]* &quot;-&quot;??_ ;_-@_ ">
                        <c:v>0</c:v>
                      </c:pt>
                      <c:pt idx="11" formatCode="_-[$$-409]* #,##0_ ;_-[$$-409]* \-#,##0\ ;_-[$$-409]* &quot;-&quot;??_ ;_-@_ ">
                        <c:v>0</c:v>
                      </c:pt>
                    </c:numCache>
                  </c:numRef>
                </c:val>
                <c:extLst xmlns:c15="http://schemas.microsoft.com/office/drawing/2012/chart">
                  <c:ext xmlns:c16="http://schemas.microsoft.com/office/drawing/2014/chart" uri="{C3380CC4-5D6E-409C-BE32-E72D297353CC}">
                    <c16:uniqueId val="{0000000E-7435-4223-84D3-FADBA42DEEA8}"/>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Ref!$AC$36</c15:sqref>
                        </c15:formulaRef>
                      </c:ext>
                    </c:extLst>
                    <c:strCache>
                      <c:ptCount val="1"/>
                      <c:pt idx="0">
                        <c:v>Cisco Contact Center</c:v>
                      </c:pt>
                    </c:strCache>
                  </c:strRef>
                </c:tx>
                <c:spPr>
                  <a:solidFill>
                    <a:schemeClr val="accent6">
                      <a:lumMod val="60000"/>
                    </a:schemeClr>
                  </a:solidFill>
                  <a:ln>
                    <a:noFill/>
                  </a:ln>
                  <a:effectLst/>
                </c:spPr>
                <c:invertIfNegative val="0"/>
                <c:cat>
                  <c:numRef>
                    <c:extLst>
                      <c:ext xmlns:c15="http://schemas.microsoft.com/office/drawing/2012/chart" uri="{02D57815-91ED-43cb-92C2-25804820EDAC}">
                        <c15:fullRef>
                          <c15:sqref>Ref!$Q$37:$Q$60</c15:sqref>
                        </c15:fullRef>
                        <c15:formulaRef>
                          <c15:sqref>Ref!$Q$49:$Q$60</c15:sqref>
                        </c15:formulaRef>
                      </c:ext>
                    </c:extLst>
                    <c:numCache>
                      <c:formatCode>mmm\-yy</c:formatCode>
                      <c:ptCount val="12"/>
                      <c:pt idx="0">
                        <c:v>46143</c:v>
                      </c:pt>
                      <c:pt idx="1">
                        <c:v>46113</c:v>
                      </c:pt>
                      <c:pt idx="2">
                        <c:v>46082</c:v>
                      </c:pt>
                      <c:pt idx="3">
                        <c:v>46054</c:v>
                      </c:pt>
                      <c:pt idx="4">
                        <c:v>46023</c:v>
                      </c:pt>
                      <c:pt idx="5">
                        <c:v>45992</c:v>
                      </c:pt>
                      <c:pt idx="6">
                        <c:v>45962</c:v>
                      </c:pt>
                      <c:pt idx="7">
                        <c:v>45931</c:v>
                      </c:pt>
                      <c:pt idx="8">
                        <c:v>45901</c:v>
                      </c:pt>
                      <c:pt idx="9">
                        <c:v>45870</c:v>
                      </c:pt>
                      <c:pt idx="10">
                        <c:v>45839</c:v>
                      </c:pt>
                      <c:pt idx="11">
                        <c:v>45809</c:v>
                      </c:pt>
                    </c:numCache>
                  </c:numRef>
                </c:cat>
                <c:val>
                  <c:numRef>
                    <c:extLst>
                      <c:ext xmlns:c15="http://schemas.microsoft.com/office/drawing/2012/chart" uri="{02D57815-91ED-43cb-92C2-25804820EDAC}">
                        <c15:fullRef>
                          <c15:sqref>Ref!$AC$37:$AC$60</c15:sqref>
                        </c15:fullRef>
                        <c15:formulaRef>
                          <c15:sqref>Ref!$AC$49:$AC$60</c15:sqref>
                        </c15:formulaRef>
                      </c:ext>
                    </c:extLst>
                    <c:numCache>
                      <c:formatCode>0</c:formatCode>
                      <c:ptCount val="12"/>
                      <c:pt idx="0" formatCode="_-[$$-409]* #,##0_ ;_-[$$-409]* \-#,##0\ ;_-[$$-409]* &quot;-&quot;??_ ;_-@_ ">
                        <c:v>0</c:v>
                      </c:pt>
                      <c:pt idx="1" formatCode="_-[$$-409]* #,##0_ ;_-[$$-409]* \-#,##0\ ;_-[$$-409]* &quot;-&quot;??_ ;_-@_ ">
                        <c:v>0</c:v>
                      </c:pt>
                      <c:pt idx="2" formatCode="_-[$$-409]* #,##0_ ;_-[$$-409]* \-#,##0\ ;_-[$$-409]* &quot;-&quot;??_ ;_-@_ ">
                        <c:v>0</c:v>
                      </c:pt>
                      <c:pt idx="3" formatCode="_-[$$-409]* #,##0_ ;_-[$$-409]* \-#,##0\ ;_-[$$-409]* &quot;-&quot;??_ ;_-@_ ">
                        <c:v>0</c:v>
                      </c:pt>
                      <c:pt idx="4" formatCode="_-[$$-409]* #,##0_ ;_-[$$-409]* \-#,##0\ ;_-[$$-409]* &quot;-&quot;??_ ;_-@_ ">
                        <c:v>0</c:v>
                      </c:pt>
                      <c:pt idx="5" formatCode="_-[$$-409]* #,##0_ ;_-[$$-409]* \-#,##0\ ;_-[$$-409]* &quot;-&quot;??_ ;_-@_ ">
                        <c:v>0</c:v>
                      </c:pt>
                      <c:pt idx="6" formatCode="_-[$$-409]* #,##0_ ;_-[$$-409]* \-#,##0\ ;_-[$$-409]* &quot;-&quot;??_ ;_-@_ ">
                        <c:v>0</c:v>
                      </c:pt>
                      <c:pt idx="7" formatCode="_-[$$-409]* #,##0_ ;_-[$$-409]* \-#,##0\ ;_-[$$-409]* &quot;-&quot;??_ ;_-@_ ">
                        <c:v>0</c:v>
                      </c:pt>
                      <c:pt idx="8" formatCode="_-[$$-409]* #,##0_ ;_-[$$-409]* \-#,##0\ ;_-[$$-409]* &quot;-&quot;??_ ;_-@_ ">
                        <c:v>0</c:v>
                      </c:pt>
                      <c:pt idx="9" formatCode="_-[$$-409]* #,##0_ ;_-[$$-409]* \-#,##0\ ;_-[$$-409]* &quot;-&quot;??_ ;_-@_ ">
                        <c:v>0</c:v>
                      </c:pt>
                      <c:pt idx="10" formatCode="_-[$$-409]* #,##0_ ;_-[$$-409]* \-#,##0\ ;_-[$$-409]* &quot;-&quot;??_ ;_-@_ ">
                        <c:v>0</c:v>
                      </c:pt>
                      <c:pt idx="11" formatCode="_-[$$-409]* #,##0_ ;_-[$$-409]* \-#,##0\ ;_-[$$-409]* &quot;-&quot;??_ ;_-@_ ">
                        <c:v>0</c:v>
                      </c:pt>
                    </c:numCache>
                  </c:numRef>
                </c:val>
                <c:extLst xmlns:c15="http://schemas.microsoft.com/office/drawing/2012/chart">
                  <c:ext xmlns:c16="http://schemas.microsoft.com/office/drawing/2014/chart" uri="{C3380CC4-5D6E-409C-BE32-E72D297353CC}">
                    <c16:uniqueId val="{0000000F-7435-4223-84D3-FADBA42DEEA8}"/>
                  </c:ext>
                </c:extLst>
              </c15:ser>
            </c15:filteredBarSeries>
          </c:ext>
        </c:extLst>
      </c:barChart>
      <c:dateAx>
        <c:axId val="182496060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4958688"/>
        <c:crosses val="autoZero"/>
        <c:auto val="1"/>
        <c:lblOffset val="100"/>
        <c:baseTimeUnit val="months"/>
      </c:dateAx>
      <c:valAx>
        <c:axId val="1824958688"/>
        <c:scaling>
          <c:orientation val="minMax"/>
          <c:max val="25000"/>
          <c:min val="1"/>
        </c:scaling>
        <c:delete val="0"/>
        <c:axPos val="l"/>
        <c:majorGridlines>
          <c:spPr>
            <a:ln w="9525" cap="flat" cmpd="sng" algn="ctr">
              <a:solidFill>
                <a:schemeClr val="tx1">
                  <a:lumMod val="15000"/>
                  <a:lumOff val="85000"/>
                </a:schemeClr>
              </a:solidFill>
              <a:round/>
            </a:ln>
            <a:effectLst/>
          </c:spPr>
        </c:majorGridlines>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496060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38100"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Active Opted-in UC Progression</a:t>
            </a:r>
          </a:p>
          <a:p>
            <a:pPr>
              <a:defRPr/>
            </a:pPr>
            <a:r>
              <a:rPr lang="en-US" sz="1100"/>
              <a:t>(12 months)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Ref!$AD$36</c:f>
              <c:strCache>
                <c:ptCount val="1"/>
                <c:pt idx="0">
                  <c:v>Networking</c:v>
                </c:pt>
              </c:strCache>
            </c:strRef>
          </c:tx>
          <c:spPr>
            <a:solidFill>
              <a:schemeClr val="accent1"/>
            </a:solidFill>
            <a:ln>
              <a:noFill/>
            </a:ln>
            <a:effectLst/>
          </c:spPr>
          <c:invertIfNegative val="0"/>
          <c:cat>
            <c:numRef>
              <c:f>Ref!$Q$61:$Q$72</c:f>
              <c:numCache>
                <c:formatCode>mmm\-yy</c:formatCode>
                <c:ptCount val="12"/>
                <c:pt idx="0">
                  <c:v>46143</c:v>
                </c:pt>
                <c:pt idx="1">
                  <c:v>46113</c:v>
                </c:pt>
                <c:pt idx="2">
                  <c:v>46082</c:v>
                </c:pt>
                <c:pt idx="3">
                  <c:v>46054</c:v>
                </c:pt>
                <c:pt idx="4">
                  <c:v>46023</c:v>
                </c:pt>
                <c:pt idx="5">
                  <c:v>45992</c:v>
                </c:pt>
                <c:pt idx="6">
                  <c:v>45962</c:v>
                </c:pt>
                <c:pt idx="7">
                  <c:v>45931</c:v>
                </c:pt>
                <c:pt idx="8">
                  <c:v>45901</c:v>
                </c:pt>
                <c:pt idx="9">
                  <c:v>45870</c:v>
                </c:pt>
                <c:pt idx="10">
                  <c:v>45839</c:v>
                </c:pt>
                <c:pt idx="11">
                  <c:v>45809</c:v>
                </c:pt>
              </c:numCache>
            </c:numRef>
          </c:cat>
          <c:val>
            <c:numRef>
              <c:f>Ref!$AD$61:$AD$72</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DC05-4C4C-A4C1-947A0D11594A}"/>
            </c:ext>
          </c:extLst>
        </c:ser>
        <c:ser>
          <c:idx val="1"/>
          <c:order val="1"/>
          <c:tx>
            <c:strRef>
              <c:f>Ref!$AE$36</c:f>
              <c:strCache>
                <c:ptCount val="1"/>
                <c:pt idx="0">
                  <c:v>Security</c:v>
                </c:pt>
              </c:strCache>
            </c:strRef>
          </c:tx>
          <c:spPr>
            <a:solidFill>
              <a:schemeClr val="accent2"/>
            </a:solidFill>
            <a:ln>
              <a:noFill/>
            </a:ln>
            <a:effectLst/>
          </c:spPr>
          <c:invertIfNegative val="0"/>
          <c:cat>
            <c:numRef>
              <c:f>Ref!$Q$61:$Q$72</c:f>
              <c:numCache>
                <c:formatCode>mmm\-yy</c:formatCode>
                <c:ptCount val="12"/>
                <c:pt idx="0">
                  <c:v>46143</c:v>
                </c:pt>
                <c:pt idx="1">
                  <c:v>46113</c:v>
                </c:pt>
                <c:pt idx="2">
                  <c:v>46082</c:v>
                </c:pt>
                <c:pt idx="3">
                  <c:v>46054</c:v>
                </c:pt>
                <c:pt idx="4">
                  <c:v>46023</c:v>
                </c:pt>
                <c:pt idx="5">
                  <c:v>45992</c:v>
                </c:pt>
                <c:pt idx="6">
                  <c:v>45962</c:v>
                </c:pt>
                <c:pt idx="7">
                  <c:v>45931</c:v>
                </c:pt>
                <c:pt idx="8">
                  <c:v>45901</c:v>
                </c:pt>
                <c:pt idx="9">
                  <c:v>45870</c:v>
                </c:pt>
                <c:pt idx="10">
                  <c:v>45839</c:v>
                </c:pt>
                <c:pt idx="11">
                  <c:v>45809</c:v>
                </c:pt>
              </c:numCache>
            </c:numRef>
          </c:cat>
          <c:val>
            <c:numRef>
              <c:f>Ref!$AE$61:$AE$72</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C05-4C4C-A4C1-947A0D11594A}"/>
            </c:ext>
          </c:extLst>
        </c:ser>
        <c:ser>
          <c:idx val="2"/>
          <c:order val="2"/>
          <c:tx>
            <c:strRef>
              <c:f>Ref!$AF$36</c:f>
              <c:strCache>
                <c:ptCount val="1"/>
                <c:pt idx="0">
                  <c:v>Cloud + AI Infrastructure</c:v>
                </c:pt>
              </c:strCache>
            </c:strRef>
          </c:tx>
          <c:spPr>
            <a:solidFill>
              <a:schemeClr val="accent3"/>
            </a:solidFill>
            <a:ln>
              <a:noFill/>
            </a:ln>
            <a:effectLst/>
          </c:spPr>
          <c:invertIfNegative val="0"/>
          <c:cat>
            <c:numRef>
              <c:f>Ref!$Q$61:$Q$72</c:f>
              <c:numCache>
                <c:formatCode>mmm\-yy</c:formatCode>
                <c:ptCount val="12"/>
                <c:pt idx="0">
                  <c:v>46143</c:v>
                </c:pt>
                <c:pt idx="1">
                  <c:v>46113</c:v>
                </c:pt>
                <c:pt idx="2">
                  <c:v>46082</c:v>
                </c:pt>
                <c:pt idx="3">
                  <c:v>46054</c:v>
                </c:pt>
                <c:pt idx="4">
                  <c:v>46023</c:v>
                </c:pt>
                <c:pt idx="5">
                  <c:v>45992</c:v>
                </c:pt>
                <c:pt idx="6">
                  <c:v>45962</c:v>
                </c:pt>
                <c:pt idx="7">
                  <c:v>45931</c:v>
                </c:pt>
                <c:pt idx="8">
                  <c:v>45901</c:v>
                </c:pt>
                <c:pt idx="9">
                  <c:v>45870</c:v>
                </c:pt>
                <c:pt idx="10">
                  <c:v>45839</c:v>
                </c:pt>
                <c:pt idx="11">
                  <c:v>45809</c:v>
                </c:pt>
              </c:numCache>
            </c:numRef>
          </c:cat>
          <c:val>
            <c:numRef>
              <c:f>Ref!$AF$61:$AF$72</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DC05-4C4C-A4C1-947A0D11594A}"/>
            </c:ext>
          </c:extLst>
        </c:ser>
        <c:ser>
          <c:idx val="3"/>
          <c:order val="3"/>
          <c:tx>
            <c:strRef>
              <c:f>Ref!$AG$36</c:f>
              <c:strCache>
                <c:ptCount val="1"/>
                <c:pt idx="0">
                  <c:v>Collaboration</c:v>
                </c:pt>
              </c:strCache>
            </c:strRef>
          </c:tx>
          <c:spPr>
            <a:solidFill>
              <a:schemeClr val="accent4"/>
            </a:solidFill>
            <a:ln>
              <a:noFill/>
            </a:ln>
            <a:effectLst/>
          </c:spPr>
          <c:invertIfNegative val="0"/>
          <c:cat>
            <c:numRef>
              <c:f>Ref!$Q$61:$Q$72</c:f>
              <c:numCache>
                <c:formatCode>mmm\-yy</c:formatCode>
                <c:ptCount val="12"/>
                <c:pt idx="0">
                  <c:v>46143</c:v>
                </c:pt>
                <c:pt idx="1">
                  <c:v>46113</c:v>
                </c:pt>
                <c:pt idx="2">
                  <c:v>46082</c:v>
                </c:pt>
                <c:pt idx="3">
                  <c:v>46054</c:v>
                </c:pt>
                <c:pt idx="4">
                  <c:v>46023</c:v>
                </c:pt>
                <c:pt idx="5">
                  <c:v>45992</c:v>
                </c:pt>
                <c:pt idx="6">
                  <c:v>45962</c:v>
                </c:pt>
                <c:pt idx="7">
                  <c:v>45931</c:v>
                </c:pt>
                <c:pt idx="8">
                  <c:v>45901</c:v>
                </c:pt>
                <c:pt idx="9">
                  <c:v>45870</c:v>
                </c:pt>
                <c:pt idx="10">
                  <c:v>45839</c:v>
                </c:pt>
                <c:pt idx="11">
                  <c:v>45809</c:v>
                </c:pt>
              </c:numCache>
            </c:numRef>
          </c:cat>
          <c:val>
            <c:numRef>
              <c:f>Ref!$AG$61:$AG$72</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DC05-4C4C-A4C1-947A0D11594A}"/>
            </c:ext>
          </c:extLst>
        </c:ser>
        <c:dLbls>
          <c:showLegendKey val="0"/>
          <c:showVal val="0"/>
          <c:showCatName val="0"/>
          <c:showSerName val="0"/>
          <c:showPercent val="0"/>
          <c:showBubbleSize val="0"/>
        </c:dLbls>
        <c:gapWidth val="219"/>
        <c:overlap val="-27"/>
        <c:axId val="1847552592"/>
        <c:axId val="1847551152"/>
      </c:barChart>
      <c:dateAx>
        <c:axId val="18475525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7551152"/>
        <c:crosses val="autoZero"/>
        <c:auto val="1"/>
        <c:lblOffset val="100"/>
        <c:baseTimeUnit val="months"/>
      </c:dateAx>
      <c:valAx>
        <c:axId val="18475511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7552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38100"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Monthly Opt-ins</a:t>
            </a:r>
          </a:p>
          <a:p>
            <a:pPr>
              <a:defRPr/>
            </a:pPr>
            <a:r>
              <a:rPr lang="en-US"/>
              <a:t>(12 months)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Ref!$AD$36</c:f>
              <c:strCache>
                <c:ptCount val="1"/>
                <c:pt idx="0">
                  <c:v>Networking</c:v>
                </c:pt>
              </c:strCache>
            </c:strRef>
          </c:tx>
          <c:spPr>
            <a:ln w="28575" cap="rnd">
              <a:solidFill>
                <a:schemeClr val="accent1"/>
              </a:solidFill>
              <a:round/>
            </a:ln>
            <a:effectLst/>
          </c:spPr>
          <c:marker>
            <c:symbol val="none"/>
          </c:marker>
          <c:cat>
            <c:numRef>
              <c:f>Ref!$Q$37:$Q$48</c:f>
              <c:numCache>
                <c:formatCode>mmm\-yy</c:formatCode>
                <c:ptCount val="12"/>
                <c:pt idx="0">
                  <c:v>46143</c:v>
                </c:pt>
                <c:pt idx="1">
                  <c:v>46113</c:v>
                </c:pt>
                <c:pt idx="2">
                  <c:v>46082</c:v>
                </c:pt>
                <c:pt idx="3">
                  <c:v>46054</c:v>
                </c:pt>
                <c:pt idx="4">
                  <c:v>46023</c:v>
                </c:pt>
                <c:pt idx="5">
                  <c:v>45992</c:v>
                </c:pt>
                <c:pt idx="6">
                  <c:v>45962</c:v>
                </c:pt>
                <c:pt idx="7">
                  <c:v>45931</c:v>
                </c:pt>
                <c:pt idx="8">
                  <c:v>45901</c:v>
                </c:pt>
                <c:pt idx="9">
                  <c:v>45870</c:v>
                </c:pt>
                <c:pt idx="10">
                  <c:v>45839</c:v>
                </c:pt>
                <c:pt idx="11">
                  <c:v>45809</c:v>
                </c:pt>
              </c:numCache>
            </c:numRef>
          </c:cat>
          <c:val>
            <c:numRef>
              <c:f>Ref!$AD$37:$AD$48</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0FB6-4622-B9EE-C97AEC63615B}"/>
            </c:ext>
          </c:extLst>
        </c:ser>
        <c:ser>
          <c:idx val="1"/>
          <c:order val="1"/>
          <c:tx>
            <c:strRef>
              <c:f>Ref!$AE$36</c:f>
              <c:strCache>
                <c:ptCount val="1"/>
                <c:pt idx="0">
                  <c:v>Security</c:v>
                </c:pt>
              </c:strCache>
            </c:strRef>
          </c:tx>
          <c:spPr>
            <a:ln w="28575" cap="rnd">
              <a:solidFill>
                <a:schemeClr val="accent2"/>
              </a:solidFill>
              <a:round/>
            </a:ln>
            <a:effectLst/>
          </c:spPr>
          <c:marker>
            <c:symbol val="none"/>
          </c:marker>
          <c:cat>
            <c:numRef>
              <c:f>Ref!$Q$37:$Q$48</c:f>
              <c:numCache>
                <c:formatCode>mmm\-yy</c:formatCode>
                <c:ptCount val="12"/>
                <c:pt idx="0">
                  <c:v>46143</c:v>
                </c:pt>
                <c:pt idx="1">
                  <c:v>46113</c:v>
                </c:pt>
                <c:pt idx="2">
                  <c:v>46082</c:v>
                </c:pt>
                <c:pt idx="3">
                  <c:v>46054</c:v>
                </c:pt>
                <c:pt idx="4">
                  <c:v>46023</c:v>
                </c:pt>
                <c:pt idx="5">
                  <c:v>45992</c:v>
                </c:pt>
                <c:pt idx="6">
                  <c:v>45962</c:v>
                </c:pt>
                <c:pt idx="7">
                  <c:v>45931</c:v>
                </c:pt>
                <c:pt idx="8">
                  <c:v>45901</c:v>
                </c:pt>
                <c:pt idx="9">
                  <c:v>45870</c:v>
                </c:pt>
                <c:pt idx="10">
                  <c:v>45839</c:v>
                </c:pt>
                <c:pt idx="11">
                  <c:v>45809</c:v>
                </c:pt>
              </c:numCache>
            </c:numRef>
          </c:cat>
          <c:val>
            <c:numRef>
              <c:f>Ref!$AE$37:$AE$48</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0FB6-4622-B9EE-C97AEC63615B}"/>
            </c:ext>
          </c:extLst>
        </c:ser>
        <c:ser>
          <c:idx val="2"/>
          <c:order val="2"/>
          <c:tx>
            <c:strRef>
              <c:f>Ref!$AF$36</c:f>
              <c:strCache>
                <c:ptCount val="1"/>
                <c:pt idx="0">
                  <c:v>Cloud + AI Infrastructure</c:v>
                </c:pt>
              </c:strCache>
            </c:strRef>
          </c:tx>
          <c:spPr>
            <a:ln w="28575" cap="rnd">
              <a:solidFill>
                <a:schemeClr val="accent3"/>
              </a:solidFill>
              <a:round/>
            </a:ln>
            <a:effectLst/>
          </c:spPr>
          <c:marker>
            <c:symbol val="none"/>
          </c:marker>
          <c:cat>
            <c:numRef>
              <c:f>Ref!$Q$37:$Q$48</c:f>
              <c:numCache>
                <c:formatCode>mmm\-yy</c:formatCode>
                <c:ptCount val="12"/>
                <c:pt idx="0">
                  <c:v>46143</c:v>
                </c:pt>
                <c:pt idx="1">
                  <c:v>46113</c:v>
                </c:pt>
                <c:pt idx="2">
                  <c:v>46082</c:v>
                </c:pt>
                <c:pt idx="3">
                  <c:v>46054</c:v>
                </c:pt>
                <c:pt idx="4">
                  <c:v>46023</c:v>
                </c:pt>
                <c:pt idx="5">
                  <c:v>45992</c:v>
                </c:pt>
                <c:pt idx="6">
                  <c:v>45962</c:v>
                </c:pt>
                <c:pt idx="7">
                  <c:v>45931</c:v>
                </c:pt>
                <c:pt idx="8">
                  <c:v>45901</c:v>
                </c:pt>
                <c:pt idx="9">
                  <c:v>45870</c:v>
                </c:pt>
                <c:pt idx="10">
                  <c:v>45839</c:v>
                </c:pt>
                <c:pt idx="11">
                  <c:v>45809</c:v>
                </c:pt>
              </c:numCache>
            </c:numRef>
          </c:cat>
          <c:val>
            <c:numRef>
              <c:f>Ref!$AF$37:$AF$48</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0FB6-4622-B9EE-C97AEC63615B}"/>
            </c:ext>
          </c:extLst>
        </c:ser>
        <c:ser>
          <c:idx val="3"/>
          <c:order val="3"/>
          <c:tx>
            <c:strRef>
              <c:f>Ref!$AG$36</c:f>
              <c:strCache>
                <c:ptCount val="1"/>
                <c:pt idx="0">
                  <c:v>Collaboration</c:v>
                </c:pt>
              </c:strCache>
            </c:strRef>
          </c:tx>
          <c:spPr>
            <a:ln w="28575" cap="rnd">
              <a:solidFill>
                <a:schemeClr val="accent4"/>
              </a:solidFill>
              <a:round/>
            </a:ln>
            <a:effectLst/>
          </c:spPr>
          <c:marker>
            <c:symbol val="none"/>
          </c:marker>
          <c:cat>
            <c:numRef>
              <c:f>Ref!$Q$37:$Q$48</c:f>
              <c:numCache>
                <c:formatCode>mmm\-yy</c:formatCode>
                <c:ptCount val="12"/>
                <c:pt idx="0">
                  <c:v>46143</c:v>
                </c:pt>
                <c:pt idx="1">
                  <c:v>46113</c:v>
                </c:pt>
                <c:pt idx="2">
                  <c:v>46082</c:v>
                </c:pt>
                <c:pt idx="3">
                  <c:v>46054</c:v>
                </c:pt>
                <c:pt idx="4">
                  <c:v>46023</c:v>
                </c:pt>
                <c:pt idx="5">
                  <c:v>45992</c:v>
                </c:pt>
                <c:pt idx="6">
                  <c:v>45962</c:v>
                </c:pt>
                <c:pt idx="7">
                  <c:v>45931</c:v>
                </c:pt>
                <c:pt idx="8">
                  <c:v>45901</c:v>
                </c:pt>
                <c:pt idx="9">
                  <c:v>45870</c:v>
                </c:pt>
                <c:pt idx="10">
                  <c:v>45839</c:v>
                </c:pt>
                <c:pt idx="11">
                  <c:v>45809</c:v>
                </c:pt>
              </c:numCache>
            </c:numRef>
          </c:cat>
          <c:val>
            <c:numRef>
              <c:f>Ref!$AG$37:$AG$48</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3-0FB6-4622-B9EE-C97AEC63615B}"/>
            </c:ext>
          </c:extLst>
        </c:ser>
        <c:dLbls>
          <c:showLegendKey val="0"/>
          <c:showVal val="0"/>
          <c:showCatName val="0"/>
          <c:showSerName val="0"/>
          <c:showPercent val="0"/>
          <c:showBubbleSize val="0"/>
        </c:dLbls>
        <c:smooth val="0"/>
        <c:axId val="1830954064"/>
        <c:axId val="1830962224"/>
      </c:lineChart>
      <c:dateAx>
        <c:axId val="18309540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0962224"/>
        <c:crosses val="autoZero"/>
        <c:auto val="1"/>
        <c:lblOffset val="100"/>
        <c:baseTimeUnit val="months"/>
      </c:dateAx>
      <c:valAx>
        <c:axId val="183096222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09540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38100"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_xlchart.v1.3</cx:f>
      </cx:strDim>
      <cx:numDim type="val">
        <cx:f>_xlchart.v1.5</cx:f>
      </cx:numDim>
    </cx:data>
  </cx:chartData>
  <cx:chart>
    <cx:title pos="t" align="ctr" overlay="0">
      <cx:tx>
        <cx:txData>
          <cx:v>Catalyst Center</cx:v>
        </cx:txData>
      </cx:tx>
      <cx:txPr>
        <a:bodyPr rot="0" spcFirstLastPara="1" vertOverflow="ellipsis" vert="horz" wrap="square" lIns="38100" tIns="19050" rIns="38100" bIns="19050" anchor="ctr" anchorCtr="1" compatLnSpc="0"/>
        <a:lstStyle/>
        <a:p>
          <a:pPr algn="ctr" rtl="0">
            <a:defRPr sz="1400" b="1" i="0" u="none" strike="noStrike" kern="1200" spc="0" baseline="0">
              <a:solidFill>
                <a:sysClr val="windowText" lastClr="000000">
                  <a:lumMod val="65000"/>
                  <a:lumOff val="35000"/>
                </a:sysClr>
              </a:solidFill>
              <a:latin typeface="+mn-lt"/>
              <a:ea typeface="+mn-ea"/>
              <a:cs typeface="+mn-cs"/>
            </a:defRPr>
          </a:pPr>
          <a:r>
            <a:rPr kumimoji="0" lang="en-US" sz="1400" b="1" i="0" u="none" strike="noStrike" kern="1200" cap="none" spc="0" normalizeH="0" baseline="0" noProof="0">
              <a:ln>
                <a:noFill/>
              </a:ln>
              <a:solidFill>
                <a:sysClr val="windowText" lastClr="000000">
                  <a:lumMod val="65000"/>
                  <a:lumOff val="35000"/>
                </a:sysClr>
              </a:solidFill>
              <a:effectLst/>
              <a:uLnTx/>
              <a:uFillTx/>
              <a:latin typeface="Aptos Narrow" panose="02110004020202020204"/>
            </a:rPr>
            <a:t>Catalyst Center</a:t>
          </a:r>
        </a:p>
      </cx:txPr>
    </cx:title>
    <cx:plotArea>
      <cx:plotAreaRegion>
        <cx:series layoutId="waterfall" uniqueId="{3D8BD668-50C3-4AC9-9967-9172763BF0E5}">
          <cx:tx>
            <cx:txData>
              <cx:f>_xlchart.v1.4</cx:f>
              <cx:v>Catalyst Center</cx:v>
            </cx:txData>
          </cx:tx>
          <cx:dataPt idx="0">
            <cx:spPr>
              <a:solidFill>
                <a:srgbClr val="FF0000"/>
              </a:solidFill>
            </cx:spPr>
          </cx:dataPt>
          <cx:dataPt idx="1">
            <cx:spPr>
              <a:solidFill>
                <a:srgbClr val="FF0000"/>
              </a:solidFill>
            </cx:spPr>
          </cx:dataPt>
          <cx:dataPt idx="2">
            <cx:spPr>
              <a:solidFill>
                <a:srgbClr val="E97132"/>
              </a:solidFill>
            </cx:spPr>
          </cx:dataPt>
          <cx:dataPt idx="3">
            <cx:spPr>
              <a:solidFill>
                <a:srgbClr val="E97132"/>
              </a:solidFill>
            </cx:spPr>
          </cx:dataPt>
          <cx:dataPt idx="4">
            <cx:spPr>
              <a:solidFill>
                <a:srgbClr val="196B24"/>
              </a:solidFill>
            </cx:spPr>
          </cx:dataPt>
          <cx:dataPt idx="5">
            <cx:spPr>
              <a:solidFill>
                <a:srgbClr val="196B24"/>
              </a:solidFill>
            </cx:spPr>
          </cx:dataPt>
          <cx:dataPt idx="6">
            <cx:spPr>
              <a:solidFill>
                <a:srgbClr val="196B24"/>
              </a:solidFill>
            </cx:spPr>
          </cx:dataPt>
          <cx:dataId val="0"/>
          <cx:layoutPr>
            <cx:subtotals/>
          </cx:layoutPr>
        </cx:series>
      </cx:plotAreaRegion>
      <cx:axis id="0">
        <cx:catScaling/>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axis id="1">
        <cx:valScaling/>
        <cx:majorGridlines/>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_xlchart.v1.6</cx:f>
      </cx:strDim>
      <cx:numDim type="val">
        <cx:f>_xlchart.v1.8</cx:f>
      </cx:numDim>
    </cx:data>
  </cx:chartData>
  <cx:chart>
    <cx:title pos="t" align="ctr" overlay="0">
      <cx:tx>
        <cx:txData>
          <cx:v>Meraki</cx:v>
        </cx:txData>
      </cx:tx>
      <cx:txPr>
        <a:bodyPr rot="0" spcFirstLastPara="1" vertOverflow="ellipsis" vert="horz" wrap="square" lIns="38100" tIns="19050" rIns="38100" bIns="19050" anchor="ctr" anchorCtr="1" compatLnSpc="0"/>
        <a:lstStyle/>
        <a:p>
          <a:pPr algn="ctr" rtl="0">
            <a:defRPr sz="1400" b="1" i="0" u="none" strike="noStrike" kern="1200" spc="0" baseline="0">
              <a:solidFill>
                <a:sysClr val="windowText" lastClr="000000">
                  <a:lumMod val="65000"/>
                  <a:lumOff val="35000"/>
                </a:sysClr>
              </a:solidFill>
              <a:latin typeface="+mn-lt"/>
              <a:ea typeface="+mn-ea"/>
              <a:cs typeface="+mn-cs"/>
            </a:defRPr>
          </a:pPr>
          <a:r>
            <a:rPr kumimoji="0" lang="en-US" sz="1400" b="1" i="0" u="none" strike="noStrike" kern="1200" cap="none" spc="0" normalizeH="0" baseline="0" noProof="0">
              <a:ln>
                <a:noFill/>
              </a:ln>
              <a:solidFill>
                <a:sysClr val="windowText" lastClr="000000">
                  <a:lumMod val="65000"/>
                  <a:lumOff val="35000"/>
                </a:sysClr>
              </a:solidFill>
              <a:effectLst/>
              <a:uLnTx/>
              <a:uFillTx/>
              <a:latin typeface="Aptos Narrow" panose="02110004020202020204"/>
            </a:rPr>
            <a:t>Meraki</a:t>
          </a:r>
        </a:p>
      </cx:txPr>
    </cx:title>
    <cx:plotArea>
      <cx:plotAreaRegion>
        <cx:series layoutId="waterfall" uniqueId="{53D970DE-BA8A-4336-A674-D94634A11CC4}">
          <cx:tx>
            <cx:txData>
              <cx:f>_xlchart.v1.7</cx:f>
              <cx:v>Meraki</cx:v>
            </cx:txData>
          </cx:tx>
          <cx:dataPt idx="0">
            <cx:spPr>
              <a:solidFill>
                <a:srgbClr val="FF0000"/>
              </a:solidFill>
            </cx:spPr>
          </cx:dataPt>
          <cx:dataPt idx="1">
            <cx:spPr>
              <a:solidFill>
                <a:srgbClr val="FF0000"/>
              </a:solidFill>
            </cx:spPr>
          </cx:dataPt>
          <cx:dataPt idx="2">
            <cx:spPr>
              <a:solidFill>
                <a:srgbClr val="E97132"/>
              </a:solidFill>
            </cx:spPr>
          </cx:dataPt>
          <cx:dataPt idx="3">
            <cx:spPr>
              <a:solidFill>
                <a:srgbClr val="E97132"/>
              </a:solidFill>
            </cx:spPr>
          </cx:dataPt>
          <cx:dataPt idx="4">
            <cx:spPr>
              <a:solidFill>
                <a:srgbClr val="196B24"/>
              </a:solidFill>
            </cx:spPr>
          </cx:dataPt>
          <cx:dataPt idx="5">
            <cx:spPr>
              <a:solidFill>
                <a:srgbClr val="196B24"/>
              </a:solidFill>
            </cx:spPr>
          </cx:dataPt>
          <cx:dataPt idx="6">
            <cx:spPr>
              <a:solidFill>
                <a:srgbClr val="196B24"/>
              </a:solidFill>
            </cx:spPr>
          </cx:dataPt>
          <cx:dataId val="0"/>
          <cx:layoutPr>
            <cx:subtotals/>
          </cx:layoutPr>
        </cx:series>
      </cx:plotAreaRegion>
      <cx:axis id="0">
        <cx:catScaling/>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axis id="1">
        <cx:valScaling/>
        <cx:majorGridlines/>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_xlchart.v1.2</cx:f>
      </cx:numDim>
    </cx:data>
  </cx:chartData>
  <cx:chart>
    <cx:title pos="t" align="ctr" overlay="0">
      <cx:tx>
        <cx:txData>
          <cx:v>SD WAN</cx:v>
        </cx:txData>
      </cx:tx>
      <cx:txPr>
        <a:bodyPr rot="0" spcFirstLastPara="1" vertOverflow="ellipsis" vert="horz" wrap="square" lIns="38100" tIns="19050" rIns="38100" bIns="19050" anchor="ctr" anchorCtr="1" compatLnSpc="0"/>
        <a:lstStyle/>
        <a:p>
          <a:pPr algn="ctr" rtl="0">
            <a:defRPr sz="1400" b="1" i="0" u="none" strike="noStrike" kern="1200" spc="0" baseline="0">
              <a:solidFill>
                <a:sysClr val="windowText" lastClr="000000">
                  <a:lumMod val="65000"/>
                  <a:lumOff val="35000"/>
                </a:sysClr>
              </a:solidFill>
              <a:latin typeface="+mn-lt"/>
              <a:ea typeface="+mn-ea"/>
              <a:cs typeface="+mn-cs"/>
            </a:defRPr>
          </a:pPr>
          <a:r>
            <a:rPr kumimoji="0" lang="en-US" sz="1400" b="1" i="0" u="none" strike="noStrike" kern="1200" cap="none" spc="0" normalizeH="0" baseline="0" noProof="0">
              <a:ln>
                <a:noFill/>
              </a:ln>
              <a:solidFill>
                <a:sysClr val="windowText" lastClr="000000">
                  <a:lumMod val="65000"/>
                  <a:lumOff val="35000"/>
                </a:sysClr>
              </a:solidFill>
              <a:effectLst/>
              <a:uLnTx/>
              <a:uFillTx/>
              <a:latin typeface="Aptos Narrow" panose="02110004020202020204"/>
            </a:rPr>
            <a:t>SD WAN</a:t>
          </a:r>
        </a:p>
      </cx:txPr>
    </cx:title>
    <cx:plotArea>
      <cx:plotAreaRegion>
        <cx:series layoutId="waterfall" uniqueId="{7543253B-46E3-46ED-85F3-D70E56222021}">
          <cx:tx>
            <cx:txData>
              <cx:f>_xlchart.v1.1</cx:f>
              <cx:v>SD WAN</cx:v>
            </cx:txData>
          </cx:tx>
          <cx:dataPt idx="0">
            <cx:spPr>
              <a:solidFill>
                <a:srgbClr val="FF0000"/>
              </a:solidFill>
            </cx:spPr>
          </cx:dataPt>
          <cx:dataPt idx="1">
            <cx:spPr>
              <a:solidFill>
                <a:srgbClr val="FF0000"/>
              </a:solidFill>
            </cx:spPr>
          </cx:dataPt>
          <cx:dataPt idx="2">
            <cx:spPr>
              <a:solidFill>
                <a:srgbClr val="E97132"/>
              </a:solidFill>
            </cx:spPr>
          </cx:dataPt>
          <cx:dataPt idx="3">
            <cx:spPr>
              <a:solidFill>
                <a:srgbClr val="E97132"/>
              </a:solidFill>
            </cx:spPr>
          </cx:dataPt>
          <cx:dataPt idx="4">
            <cx:spPr>
              <a:solidFill>
                <a:srgbClr val="196B24"/>
              </a:solidFill>
            </cx:spPr>
          </cx:dataPt>
          <cx:dataPt idx="5">
            <cx:spPr>
              <a:solidFill>
                <a:srgbClr val="196B24"/>
              </a:solidFill>
            </cx:spPr>
          </cx:dataPt>
          <cx:dataPt idx="6">
            <cx:spPr>
              <a:solidFill>
                <a:srgbClr val="196B24"/>
              </a:solidFill>
            </cx:spPr>
          </cx:dataPt>
          <cx:dataId val="0"/>
          <cx:layoutPr>
            <cx:subtotals/>
          </cx:layoutPr>
        </cx:series>
      </cx:plotAreaRegion>
      <cx:axis id="0">
        <cx:catScaling/>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axis id="1">
        <cx:valScaling/>
        <cx:majorGridlines/>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_xlchart.v1.26</cx:f>
      </cx:strDim>
      <cx:numDim type="val">
        <cx:f>_xlchart.v1.25</cx:f>
      </cx:numDim>
    </cx:data>
  </cx:chartData>
  <cx:chart>
    <cx:title pos="t" align="ctr" overlay="0">
      <cx:tx>
        <cx:txData>
          <cx:v>Networking Portfolio</cx:v>
        </cx:txData>
      </cx:tx>
      <cx:txPr>
        <a:bodyPr rot="0" spcFirstLastPara="1" vertOverflow="ellipsis" vert="horz" wrap="square" lIns="38100" tIns="19050" rIns="38100" bIns="19050" anchor="ctr" anchorCtr="1" compatLnSpc="0"/>
        <a:lstStyle/>
        <a:p>
          <a:pPr algn="ctr" rtl="0">
            <a:defRPr sz="1400" b="1" i="0" u="none" strike="noStrike" kern="1200" spc="0" baseline="0">
              <a:solidFill>
                <a:sysClr val="windowText" lastClr="000000">
                  <a:lumMod val="65000"/>
                  <a:lumOff val="35000"/>
                </a:sysClr>
              </a:solidFill>
              <a:latin typeface="+mn-lt"/>
              <a:ea typeface="+mn-ea"/>
              <a:cs typeface="+mn-cs"/>
            </a:defRPr>
          </a:pPr>
          <a:r>
            <a:rPr kumimoji="0" lang="en-US" sz="1400" b="1" i="0" u="none" strike="noStrike" kern="1200" cap="none" spc="0" normalizeH="0" baseline="0" noProof="0">
              <a:ln>
                <a:noFill/>
              </a:ln>
              <a:solidFill>
                <a:sysClr val="windowText" lastClr="000000">
                  <a:lumMod val="65000"/>
                  <a:lumOff val="35000"/>
                </a:sysClr>
              </a:solidFill>
              <a:effectLst/>
              <a:uLnTx/>
              <a:uFillTx/>
              <a:latin typeface="Aptos Narrow" panose="02110004020202020204"/>
            </a:rPr>
            <a:t>Networking Portfolio</a:t>
          </a:r>
        </a:p>
      </cx:txPr>
    </cx:title>
    <cx:plotArea>
      <cx:plotAreaRegion>
        <cx:series layoutId="waterfall" uniqueId="{FC00A968-8F15-430C-BF7D-D5E0FFFE9CFB}">
          <cx:tx>
            <cx:txData>
              <cx:f>_xlchart.v1.24</cx:f>
              <cx:v>Networking</cx:v>
            </cx:txData>
          </cx:tx>
          <cx:dataPt idx="0">
            <cx:spPr>
              <a:solidFill>
                <a:srgbClr val="FF0000"/>
              </a:solidFill>
            </cx:spPr>
          </cx:dataPt>
          <cx:dataPt idx="1">
            <cx:spPr>
              <a:solidFill>
                <a:srgbClr val="FF0000"/>
              </a:solidFill>
            </cx:spPr>
          </cx:dataPt>
          <cx:dataPt idx="2">
            <cx:spPr>
              <a:solidFill>
                <a:srgbClr val="E97132"/>
              </a:solidFill>
            </cx:spPr>
          </cx:dataPt>
          <cx:dataPt idx="3">
            <cx:spPr>
              <a:solidFill>
                <a:srgbClr val="E97132"/>
              </a:solidFill>
            </cx:spPr>
          </cx:dataPt>
          <cx:dataPt idx="4">
            <cx:spPr>
              <a:solidFill>
                <a:srgbClr val="196B24"/>
              </a:solidFill>
            </cx:spPr>
          </cx:dataPt>
          <cx:dataPt idx="5">
            <cx:spPr>
              <a:solidFill>
                <a:srgbClr val="196B24"/>
              </a:solidFill>
            </cx:spPr>
          </cx:dataPt>
          <cx:dataPt idx="6">
            <cx:spPr>
              <a:solidFill>
                <a:srgbClr val="196B24"/>
              </a:solidFill>
            </cx:spPr>
          </cx:dataPt>
          <cx:dataId val="0"/>
          <cx:layoutPr>
            <cx:subtotals/>
          </cx:layoutPr>
        </cx:series>
      </cx:plotAreaRegion>
      <cx:axis id="0">
        <cx:catScaling/>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axis id="1">
        <cx:valScaling/>
        <cx:majorGridlines/>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strDim type="cat">
        <cx:f>_xlchart.v1.9</cx:f>
      </cx:strDim>
      <cx:numDim type="val">
        <cx:f>_xlchart.v1.11</cx:f>
      </cx:numDim>
    </cx:data>
  </cx:chartData>
  <cx:chart>
    <cx:title pos="t" align="ctr" overlay="0">
      <cx:tx>
        <cx:txData>
          <cx:v>Duo</cx:v>
        </cx:txData>
      </cx:tx>
      <cx:txPr>
        <a:bodyPr rot="0" spcFirstLastPara="1" vertOverflow="ellipsis" vert="horz" wrap="square" lIns="38100" tIns="19050" rIns="38100" bIns="19050" anchor="ctr" anchorCtr="1" compatLnSpc="0"/>
        <a:lstStyle/>
        <a:p>
          <a:pPr algn="ctr" rtl="0">
            <a:defRPr sz="1400" b="1" i="0" u="none" strike="noStrike" kern="1200" spc="0" baseline="0">
              <a:solidFill>
                <a:sysClr val="windowText" lastClr="000000">
                  <a:lumMod val="65000"/>
                  <a:lumOff val="35000"/>
                </a:sysClr>
              </a:solidFill>
              <a:latin typeface="+mn-lt"/>
              <a:ea typeface="+mn-ea"/>
              <a:cs typeface="+mn-cs"/>
            </a:defRPr>
          </a:pPr>
          <a:r>
            <a:rPr kumimoji="0" lang="en-US" sz="1400" b="1" i="0" u="none" strike="noStrike" kern="1200" cap="none" spc="0" normalizeH="0" baseline="0" noProof="0">
              <a:ln>
                <a:noFill/>
              </a:ln>
              <a:solidFill>
                <a:sysClr val="windowText" lastClr="000000">
                  <a:lumMod val="65000"/>
                  <a:lumOff val="35000"/>
                </a:sysClr>
              </a:solidFill>
              <a:effectLst/>
              <a:uLnTx/>
              <a:uFillTx/>
              <a:latin typeface="Aptos Narrow" panose="02110004020202020204"/>
            </a:rPr>
            <a:t>Duo</a:t>
          </a:r>
        </a:p>
      </cx:txPr>
    </cx:title>
    <cx:plotArea>
      <cx:plotAreaRegion>
        <cx:series layoutId="waterfall" uniqueId="{6F60EB9B-92CA-4D37-A054-19C2FF1EC5F0}">
          <cx:tx>
            <cx:txData>
              <cx:f>_xlchart.v1.10</cx:f>
              <cx:v>Duo</cx:v>
            </cx:txData>
          </cx:tx>
          <cx:dataPt idx="0">
            <cx:spPr>
              <a:solidFill>
                <a:srgbClr val="FF0000"/>
              </a:solidFill>
            </cx:spPr>
          </cx:dataPt>
          <cx:dataPt idx="1">
            <cx:spPr>
              <a:solidFill>
                <a:srgbClr val="FF0000"/>
              </a:solidFill>
            </cx:spPr>
          </cx:dataPt>
          <cx:dataPt idx="2">
            <cx:spPr>
              <a:solidFill>
                <a:srgbClr val="E97132"/>
              </a:solidFill>
            </cx:spPr>
          </cx:dataPt>
          <cx:dataPt idx="3">
            <cx:spPr>
              <a:solidFill>
                <a:srgbClr val="E97132"/>
              </a:solidFill>
            </cx:spPr>
          </cx:dataPt>
          <cx:dataPt idx="4">
            <cx:spPr>
              <a:solidFill>
                <a:srgbClr val="196B24"/>
              </a:solidFill>
            </cx:spPr>
          </cx:dataPt>
          <cx:dataPt idx="5">
            <cx:spPr>
              <a:solidFill>
                <a:srgbClr val="196B24"/>
              </a:solidFill>
            </cx:spPr>
          </cx:dataPt>
          <cx:dataPt idx="6">
            <cx:spPr>
              <a:solidFill>
                <a:srgbClr val="196B24"/>
              </a:solidFill>
            </cx:spPr>
          </cx:dataPt>
          <cx:dataId val="0"/>
          <cx:layoutPr>
            <cx:subtotals/>
          </cx:layoutPr>
        </cx:series>
      </cx:plotAreaRegion>
      <cx:axis id="0">
        <cx:catScaling/>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axis id="1">
        <cx:valScaling/>
        <cx:majorGridlines/>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strDim type="cat">
        <cx:f>_xlchart.v1.12</cx:f>
      </cx:strDim>
      <cx:numDim type="val">
        <cx:f>_xlchart.v1.14</cx:f>
      </cx:numDim>
    </cx:data>
  </cx:chartData>
  <cx:chart>
    <cx:title pos="t" align="ctr" overlay="0">
      <cx:tx>
        <cx:txData>
          <cx:v>Cisco Umbrella</cx:v>
        </cx:txData>
      </cx:tx>
      <cx:txPr>
        <a:bodyPr rot="0" spcFirstLastPara="1" vertOverflow="ellipsis" vert="horz" wrap="square" lIns="38100" tIns="19050" rIns="38100" bIns="19050" anchor="ctr" anchorCtr="1" compatLnSpc="0"/>
        <a:lstStyle/>
        <a:p>
          <a:pPr algn="ctr" rtl="0">
            <a:defRPr sz="1400" b="1" i="0" u="none" strike="noStrike" kern="1200" spc="0" baseline="0">
              <a:solidFill>
                <a:sysClr val="windowText" lastClr="000000">
                  <a:lumMod val="65000"/>
                  <a:lumOff val="35000"/>
                </a:sysClr>
              </a:solidFill>
              <a:latin typeface="+mn-lt"/>
              <a:ea typeface="+mn-ea"/>
              <a:cs typeface="+mn-cs"/>
            </a:defRPr>
          </a:pPr>
          <a:r>
            <a:rPr kumimoji="0" lang="en-US" sz="1400" b="1" i="0" u="none" strike="noStrike" kern="1200" cap="none" spc="0" normalizeH="0" baseline="0" noProof="0">
              <a:ln>
                <a:noFill/>
              </a:ln>
              <a:solidFill>
                <a:sysClr val="windowText" lastClr="000000">
                  <a:lumMod val="65000"/>
                  <a:lumOff val="35000"/>
                </a:sysClr>
              </a:solidFill>
              <a:effectLst/>
              <a:uLnTx/>
              <a:uFillTx/>
              <a:latin typeface="Aptos Narrow" panose="02110004020202020204"/>
            </a:rPr>
            <a:t>Cisco Umbrella</a:t>
          </a:r>
        </a:p>
      </cx:txPr>
    </cx:title>
    <cx:plotArea>
      <cx:plotAreaRegion>
        <cx:series layoutId="waterfall" uniqueId="{F3DA4004-55EF-4403-9147-BD162294C24B}">
          <cx:tx>
            <cx:txData>
              <cx:f>_xlchart.v1.13</cx:f>
              <cx:v>Cisco Umbrella</cx:v>
            </cx:txData>
          </cx:tx>
          <cx:dataPt idx="0">
            <cx:spPr>
              <a:solidFill>
                <a:srgbClr val="FF0000"/>
              </a:solidFill>
            </cx:spPr>
          </cx:dataPt>
          <cx:dataPt idx="1">
            <cx:spPr>
              <a:solidFill>
                <a:srgbClr val="FF0000"/>
              </a:solidFill>
            </cx:spPr>
          </cx:dataPt>
          <cx:dataPt idx="2">
            <cx:spPr>
              <a:solidFill>
                <a:srgbClr val="E97132"/>
              </a:solidFill>
            </cx:spPr>
          </cx:dataPt>
          <cx:dataPt idx="3">
            <cx:spPr>
              <a:solidFill>
                <a:srgbClr val="E97132"/>
              </a:solidFill>
            </cx:spPr>
          </cx:dataPt>
          <cx:dataPt idx="4">
            <cx:spPr>
              <a:solidFill>
                <a:srgbClr val="196B24"/>
              </a:solidFill>
            </cx:spPr>
          </cx:dataPt>
          <cx:dataPt idx="5">
            <cx:spPr>
              <a:solidFill>
                <a:srgbClr val="196B24"/>
              </a:solidFill>
            </cx:spPr>
          </cx:dataPt>
          <cx:dataPt idx="6">
            <cx:spPr>
              <a:solidFill>
                <a:srgbClr val="196B24"/>
              </a:solidFill>
            </cx:spPr>
          </cx:dataPt>
          <cx:dataId val="0"/>
          <cx:layoutPr>
            <cx:subtotals/>
          </cx:layoutPr>
        </cx:series>
      </cx:plotAreaRegion>
      <cx:axis id="0">
        <cx:catScaling/>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axis id="1">
        <cx:valScaling/>
        <cx:majorGridlines/>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hartEx7.xml><?xml version="1.0" encoding="utf-8"?>
<cx:chartSpace xmlns:a="http://schemas.openxmlformats.org/drawingml/2006/main" xmlns:r="http://schemas.openxmlformats.org/officeDocument/2006/relationships" xmlns:cx="http://schemas.microsoft.com/office/drawing/2014/chartex">
  <cx:chartData>
    <cx:data id="0">
      <cx:strDim type="cat">
        <cx:f>_xlchart.v1.15</cx:f>
      </cx:strDim>
      <cx:numDim type="val">
        <cx:f>_xlchart.v1.17</cx:f>
      </cx:numDim>
    </cx:data>
  </cx:chartData>
  <cx:chart>
    <cx:title pos="t" align="ctr" overlay="0">
      <cx:tx>
        <cx:txData>
          <cx:v>Cisco Secure Firewall</cx:v>
        </cx:txData>
      </cx:tx>
      <cx:txPr>
        <a:bodyPr rot="0" spcFirstLastPara="1" vertOverflow="ellipsis" vert="horz" wrap="square" lIns="38100" tIns="19050" rIns="38100" bIns="19050" anchor="ctr" anchorCtr="1" compatLnSpc="0"/>
        <a:lstStyle/>
        <a:p>
          <a:pPr algn="ctr" rtl="0">
            <a:defRPr sz="1400" b="1" i="0" u="none" strike="noStrike" kern="1200" spc="0" baseline="0">
              <a:solidFill>
                <a:sysClr val="windowText" lastClr="000000">
                  <a:lumMod val="65000"/>
                  <a:lumOff val="35000"/>
                </a:sysClr>
              </a:solidFill>
              <a:latin typeface="+mn-lt"/>
              <a:ea typeface="+mn-ea"/>
              <a:cs typeface="+mn-cs"/>
            </a:defRPr>
          </a:pPr>
          <a:r>
            <a:rPr kumimoji="0" lang="en-US" sz="1400" b="1" i="0" u="none" strike="noStrike" kern="1200" cap="none" spc="0" normalizeH="0" baseline="0" noProof="0">
              <a:ln>
                <a:noFill/>
              </a:ln>
              <a:solidFill>
                <a:sysClr val="windowText" lastClr="000000">
                  <a:lumMod val="65000"/>
                  <a:lumOff val="35000"/>
                </a:sysClr>
              </a:solidFill>
              <a:effectLst/>
              <a:uLnTx/>
              <a:uFillTx/>
              <a:latin typeface="Aptos Narrow" panose="02110004020202020204"/>
            </a:rPr>
            <a:t>Cisco Secure Firewall</a:t>
          </a:r>
        </a:p>
      </cx:txPr>
    </cx:title>
    <cx:plotArea>
      <cx:plotAreaRegion>
        <cx:series layoutId="waterfall" uniqueId="{CC2CC470-2017-4CF2-A9AE-8C387DD1C8B8}">
          <cx:tx>
            <cx:txData>
              <cx:f>_xlchart.v1.16</cx:f>
              <cx:v>Cisco Secure Firewall</cx:v>
            </cx:txData>
          </cx:tx>
          <cx:dataPt idx="0">
            <cx:spPr>
              <a:solidFill>
                <a:srgbClr val="FF0000"/>
              </a:solidFill>
            </cx:spPr>
          </cx:dataPt>
          <cx:dataPt idx="1">
            <cx:spPr>
              <a:solidFill>
                <a:srgbClr val="FF0000"/>
              </a:solidFill>
            </cx:spPr>
          </cx:dataPt>
          <cx:dataPt idx="2">
            <cx:spPr>
              <a:solidFill>
                <a:srgbClr val="E97132"/>
              </a:solidFill>
            </cx:spPr>
          </cx:dataPt>
          <cx:dataPt idx="3">
            <cx:spPr>
              <a:solidFill>
                <a:srgbClr val="E97132"/>
              </a:solidFill>
            </cx:spPr>
          </cx:dataPt>
          <cx:dataPt idx="4">
            <cx:spPr>
              <a:solidFill>
                <a:srgbClr val="196B24"/>
              </a:solidFill>
            </cx:spPr>
          </cx:dataPt>
          <cx:dataPt idx="5">
            <cx:spPr>
              <a:solidFill>
                <a:srgbClr val="196B24"/>
              </a:solidFill>
            </cx:spPr>
          </cx:dataPt>
          <cx:dataPt idx="6">
            <cx:spPr>
              <a:solidFill>
                <a:srgbClr val="196B24"/>
              </a:solidFill>
            </cx:spPr>
          </cx:dataPt>
          <cx:dataId val="0"/>
          <cx:layoutPr>
            <cx:subtotals/>
          </cx:layoutPr>
        </cx:series>
      </cx:plotAreaRegion>
      <cx:axis id="0">
        <cx:catScaling/>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axis id="1">
        <cx:valScaling/>
        <cx:majorGridlines/>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hartEx8.xml><?xml version="1.0" encoding="utf-8"?>
<cx:chartSpace xmlns:a="http://schemas.openxmlformats.org/drawingml/2006/main" xmlns:r="http://schemas.openxmlformats.org/officeDocument/2006/relationships" xmlns:cx="http://schemas.microsoft.com/office/drawing/2014/chartex">
  <cx:chartData>
    <cx:data id="0">
      <cx:strDim type="cat">
        <cx:f>_xlchart.v1.29</cx:f>
      </cx:strDim>
      <cx:numDim type="val">
        <cx:f>_xlchart.v1.28</cx:f>
      </cx:numDim>
    </cx:data>
  </cx:chartData>
  <cx:chart>
    <cx:title pos="t" align="ctr" overlay="0">
      <cx:tx>
        <cx:txData>
          <cx:v>Security Portfolio</cx:v>
        </cx:txData>
      </cx:tx>
      <cx:txPr>
        <a:bodyPr rot="0" spcFirstLastPara="1" vertOverflow="ellipsis" vert="horz" wrap="square" lIns="38100" tIns="19050" rIns="38100" bIns="19050" anchor="ctr" anchorCtr="1" compatLnSpc="0"/>
        <a:lstStyle/>
        <a:p>
          <a:pPr algn="ctr" rtl="0">
            <a:defRPr sz="1400" b="1" i="0" u="none" strike="noStrike" kern="1200" spc="0" baseline="0">
              <a:solidFill>
                <a:sysClr val="windowText" lastClr="000000">
                  <a:lumMod val="65000"/>
                  <a:lumOff val="35000"/>
                </a:sysClr>
              </a:solidFill>
              <a:latin typeface="+mn-lt"/>
              <a:ea typeface="+mn-ea"/>
              <a:cs typeface="+mn-cs"/>
            </a:defRPr>
          </a:pPr>
          <a:r>
            <a:rPr kumimoji="0" lang="en-US" sz="1400" b="1" i="0" u="none" strike="noStrike" kern="1200" cap="none" spc="0" normalizeH="0" baseline="0" noProof="0">
              <a:ln>
                <a:noFill/>
              </a:ln>
              <a:solidFill>
                <a:sysClr val="windowText" lastClr="000000">
                  <a:lumMod val="65000"/>
                  <a:lumOff val="35000"/>
                </a:sysClr>
              </a:solidFill>
              <a:effectLst/>
              <a:uLnTx/>
              <a:uFillTx/>
              <a:latin typeface="Aptos Narrow" panose="02110004020202020204"/>
            </a:rPr>
            <a:t>Security Portfolio</a:t>
          </a:r>
        </a:p>
      </cx:txPr>
    </cx:title>
    <cx:plotArea>
      <cx:plotAreaRegion>
        <cx:series layoutId="waterfall" uniqueId="{B62FEB83-BD23-454B-9D49-4409DD5FFFE3}">
          <cx:tx>
            <cx:txData>
              <cx:f>_xlchart.v1.27</cx:f>
              <cx:v>Security</cx:v>
            </cx:txData>
          </cx:tx>
          <cx:dataPt idx="0">
            <cx:spPr>
              <a:solidFill>
                <a:srgbClr val="FF0000"/>
              </a:solidFill>
            </cx:spPr>
          </cx:dataPt>
          <cx:dataPt idx="1">
            <cx:spPr>
              <a:solidFill>
                <a:srgbClr val="FF0000"/>
              </a:solidFill>
            </cx:spPr>
          </cx:dataPt>
          <cx:dataPt idx="2">
            <cx:spPr>
              <a:solidFill>
                <a:srgbClr val="E97132"/>
              </a:solidFill>
            </cx:spPr>
          </cx:dataPt>
          <cx:dataPt idx="3">
            <cx:spPr>
              <a:solidFill>
                <a:srgbClr val="E97132"/>
              </a:solidFill>
            </cx:spPr>
          </cx:dataPt>
          <cx:dataPt idx="4">
            <cx:spPr>
              <a:solidFill>
                <a:srgbClr val="196B24"/>
              </a:solidFill>
            </cx:spPr>
          </cx:dataPt>
          <cx:dataPt idx="5">
            <cx:spPr>
              <a:solidFill>
                <a:srgbClr val="196B24"/>
              </a:solidFill>
            </cx:spPr>
          </cx:dataPt>
          <cx:dataPt idx="6">
            <cx:spPr>
              <a:solidFill>
                <a:srgbClr val="196B24"/>
              </a:solidFill>
            </cx:spPr>
          </cx:dataPt>
          <cx:dataId val="0"/>
          <cx:layoutPr>
            <cx:subtotals/>
          </cx:layoutPr>
        </cx:series>
      </cx:plotAreaRegion>
      <cx:axis id="0">
        <cx:catScaling/>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axis id="1">
        <cx:valScaling/>
        <cx:majorGridlines/>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hartEx9.xml><?xml version="1.0" encoding="utf-8"?>
<cx:chartSpace xmlns:a="http://schemas.openxmlformats.org/drawingml/2006/main" xmlns:r="http://schemas.openxmlformats.org/officeDocument/2006/relationships" xmlns:cx="http://schemas.microsoft.com/office/drawing/2014/chartex">
  <cx:chartData>
    <cx:data id="0">
      <cx:strDim type="cat">
        <cx:f>_xlchart.v1.21</cx:f>
      </cx:strDim>
      <cx:numDim type="val">
        <cx:f>_xlchart.v1.23</cx:f>
      </cx:numDim>
    </cx:data>
  </cx:chartData>
  <cx:chart>
    <cx:title pos="t" align="ctr" overlay="0">
      <cx:tx>
        <cx:txData>
          <cx:v>Cisco Intersight</cx:v>
        </cx:txData>
      </cx:tx>
      <cx:txPr>
        <a:bodyPr rot="0" spcFirstLastPara="1" vertOverflow="ellipsis" vert="horz" wrap="square" lIns="38100" tIns="19050" rIns="38100" bIns="19050" anchor="ctr" anchorCtr="1" compatLnSpc="0"/>
        <a:lstStyle/>
        <a:p>
          <a:pPr algn="ctr" rtl="0">
            <a:defRPr sz="1400" b="1" i="0" u="none" strike="noStrike" kern="1200" spc="0" baseline="0">
              <a:solidFill>
                <a:sysClr val="windowText" lastClr="000000">
                  <a:lumMod val="65000"/>
                  <a:lumOff val="35000"/>
                </a:sysClr>
              </a:solidFill>
              <a:latin typeface="+mn-lt"/>
              <a:ea typeface="+mn-ea"/>
              <a:cs typeface="+mn-cs"/>
            </a:defRPr>
          </a:pPr>
          <a:r>
            <a:rPr kumimoji="0" lang="en-US" sz="1400" b="1" i="0" u="none" strike="noStrike" kern="1200" cap="none" spc="0" normalizeH="0" baseline="0" noProof="0">
              <a:ln>
                <a:noFill/>
              </a:ln>
              <a:solidFill>
                <a:sysClr val="windowText" lastClr="000000">
                  <a:lumMod val="65000"/>
                  <a:lumOff val="35000"/>
                </a:sysClr>
              </a:solidFill>
              <a:effectLst/>
              <a:uLnTx/>
              <a:uFillTx/>
              <a:latin typeface="Aptos Narrow" panose="02110004020202020204"/>
            </a:rPr>
            <a:t>Cisco Intersight</a:t>
          </a:r>
        </a:p>
      </cx:txPr>
    </cx:title>
    <cx:plotArea>
      <cx:plotAreaRegion>
        <cx:series layoutId="waterfall" uniqueId="{EB9167CD-2DE7-4114-A927-1CEA850C8FEB}">
          <cx:tx>
            <cx:txData>
              <cx:f>_xlchart.v1.22</cx:f>
              <cx:v>Cisco Intersight</cx:v>
            </cx:txData>
          </cx:tx>
          <cx:dataPt idx="0">
            <cx:spPr>
              <a:solidFill>
                <a:srgbClr val="FF0000"/>
              </a:solidFill>
            </cx:spPr>
          </cx:dataPt>
          <cx:dataPt idx="1">
            <cx:spPr>
              <a:solidFill>
                <a:srgbClr val="FF0000"/>
              </a:solidFill>
            </cx:spPr>
          </cx:dataPt>
          <cx:dataPt idx="2">
            <cx:spPr>
              <a:solidFill>
                <a:srgbClr val="E97132"/>
              </a:solidFill>
            </cx:spPr>
          </cx:dataPt>
          <cx:dataPt idx="3">
            <cx:spPr>
              <a:solidFill>
                <a:srgbClr val="E97132"/>
              </a:solidFill>
            </cx:spPr>
          </cx:dataPt>
          <cx:dataPt idx="4">
            <cx:spPr>
              <a:solidFill>
                <a:srgbClr val="196B24"/>
              </a:solidFill>
            </cx:spPr>
          </cx:dataPt>
          <cx:dataPt idx="5">
            <cx:spPr>
              <a:solidFill>
                <a:srgbClr val="196B24"/>
              </a:solidFill>
            </cx:spPr>
          </cx:dataPt>
          <cx:dataPt idx="6">
            <cx:spPr>
              <a:solidFill>
                <a:srgbClr val="196B24"/>
              </a:solidFill>
            </cx:spPr>
          </cx:dataPt>
          <cx:dataId val="0"/>
          <cx:layoutPr>
            <cx:subtotals/>
          </cx:layoutPr>
        </cx:series>
      </cx:plotAreaRegion>
      <cx:axis id="0">
        <cx:catScaling/>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axis id="1">
        <cx:valScaling/>
        <cx:majorGridlines/>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hartEx10.xml><?xml version="1.0" encoding="utf-8"?>
<cx:chartSpace xmlns:a="http://schemas.openxmlformats.org/drawingml/2006/main" xmlns:r="http://schemas.openxmlformats.org/officeDocument/2006/relationships" xmlns:cx="http://schemas.microsoft.com/office/drawing/2014/chartex">
  <cx:chartData>
    <cx:data id="0">
      <cx:strDim type="cat">
        <cx:f>_xlchart.v1.20</cx:f>
      </cx:strDim>
      <cx:numDim type="val">
        <cx:f>_xlchart.v1.19</cx:f>
      </cx:numDim>
    </cx:data>
  </cx:chartData>
  <cx:chart>
    <cx:title pos="t" align="ctr" overlay="0">
      <cx:tx>
        <cx:txData>
          <cx:v>Data Center Networking</cx:v>
        </cx:txData>
      </cx:tx>
      <cx:txPr>
        <a:bodyPr rot="0" spcFirstLastPara="1" vertOverflow="ellipsis" vert="horz" wrap="square" lIns="38100" tIns="19050" rIns="38100" bIns="19050" anchor="ctr" anchorCtr="1" compatLnSpc="0"/>
        <a:lstStyle/>
        <a:p>
          <a:pPr algn="ctr" rtl="0">
            <a:defRPr sz="1400" b="1" i="0" u="none" strike="noStrike" kern="1200" spc="0" baseline="0">
              <a:solidFill>
                <a:sysClr val="windowText" lastClr="000000">
                  <a:lumMod val="65000"/>
                  <a:lumOff val="35000"/>
                </a:sysClr>
              </a:solidFill>
              <a:latin typeface="+mn-lt"/>
              <a:ea typeface="+mn-ea"/>
              <a:cs typeface="+mn-cs"/>
            </a:defRPr>
          </a:pPr>
          <a:r>
            <a:rPr kumimoji="0" lang="en-US" sz="1400" b="1" i="0" u="none" strike="noStrike" kern="1200" cap="none" spc="0" normalizeH="0" baseline="0" noProof="0">
              <a:ln>
                <a:noFill/>
              </a:ln>
              <a:solidFill>
                <a:sysClr val="windowText" lastClr="000000">
                  <a:lumMod val="65000"/>
                  <a:lumOff val="35000"/>
                </a:sysClr>
              </a:solidFill>
              <a:effectLst/>
              <a:uLnTx/>
              <a:uFillTx/>
              <a:latin typeface="Aptos Narrow" panose="02110004020202020204"/>
            </a:rPr>
            <a:t>Data Center Networking</a:t>
          </a:r>
        </a:p>
      </cx:txPr>
    </cx:title>
    <cx:plotArea>
      <cx:plotAreaRegion>
        <cx:series layoutId="waterfall" uniqueId="{160E21E6-BC01-4DF1-81E5-90048B86E89B}">
          <cx:tx>
            <cx:txData>
              <cx:f>_xlchart.v1.18</cx:f>
              <cx:v>Data Center Networking</cx:v>
            </cx:txData>
          </cx:tx>
          <cx:dataPt idx="0">
            <cx:spPr>
              <a:solidFill>
                <a:srgbClr val="FF0000"/>
              </a:solidFill>
            </cx:spPr>
          </cx:dataPt>
          <cx:dataPt idx="1">
            <cx:spPr>
              <a:solidFill>
                <a:srgbClr val="FF0000"/>
              </a:solidFill>
            </cx:spPr>
          </cx:dataPt>
          <cx:dataPt idx="2">
            <cx:spPr>
              <a:solidFill>
                <a:srgbClr val="E97132"/>
              </a:solidFill>
            </cx:spPr>
          </cx:dataPt>
          <cx:dataPt idx="3">
            <cx:spPr>
              <a:solidFill>
                <a:srgbClr val="E97132"/>
              </a:solidFill>
            </cx:spPr>
          </cx:dataPt>
          <cx:dataPt idx="4">
            <cx:spPr>
              <a:solidFill>
                <a:srgbClr val="196B24"/>
              </a:solidFill>
            </cx:spPr>
          </cx:dataPt>
          <cx:dataPt idx="5">
            <cx:spPr>
              <a:solidFill>
                <a:srgbClr val="196B24"/>
              </a:solidFill>
            </cx:spPr>
          </cx:dataPt>
          <cx:dataPt idx="6">
            <cx:spPr>
              <a:solidFill>
                <a:srgbClr val="196B24"/>
              </a:solidFill>
            </cx:spPr>
          </cx:dataPt>
          <cx:dataId val="0"/>
          <cx:layoutPr>
            <cx:subtotals/>
          </cx:layoutPr>
        </cx:series>
      </cx:plotAreaRegion>
      <cx:axis id="0">
        <cx:catScaling/>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axis id="1">
        <cx:valScaling/>
        <cx:majorGridlines/>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hartEx11.xml><?xml version="1.0" encoding="utf-8"?>
<cx:chartSpace xmlns:a="http://schemas.openxmlformats.org/drawingml/2006/main" xmlns:r="http://schemas.openxmlformats.org/officeDocument/2006/relationships" xmlns:cx="http://schemas.microsoft.com/office/drawing/2014/chartex">
  <cx:chartData>
    <cx:data id="0">
      <cx:strDim type="cat">
        <cx:f>_xlchart.v1.32</cx:f>
      </cx:strDim>
      <cx:numDim type="val">
        <cx:f>_xlchart.v1.31</cx:f>
      </cx:numDim>
    </cx:data>
  </cx:chartData>
  <cx:chart>
    <cx:title pos="t" align="ctr" overlay="0">
      <cx:tx>
        <cx:txData>
          <cx:v>Cloud + AI Infrastructure Portfolio</cx:v>
        </cx:txData>
      </cx:tx>
      <cx:txPr>
        <a:bodyPr rot="0" spcFirstLastPara="1" vertOverflow="ellipsis" vert="horz" wrap="square" lIns="38100" tIns="19050" rIns="38100" bIns="19050" anchor="ctr" anchorCtr="1" compatLnSpc="0"/>
        <a:lstStyle/>
        <a:p>
          <a:pPr algn="ctr" rtl="0">
            <a:defRPr sz="1400" b="1" i="0" u="none" strike="noStrike" kern="1200" spc="0" baseline="0">
              <a:solidFill>
                <a:sysClr val="windowText" lastClr="000000">
                  <a:lumMod val="65000"/>
                  <a:lumOff val="35000"/>
                </a:sysClr>
              </a:solidFill>
              <a:latin typeface="+mn-lt"/>
              <a:ea typeface="+mn-ea"/>
              <a:cs typeface="+mn-cs"/>
            </a:defRPr>
          </a:pPr>
          <a:r>
            <a:rPr kumimoji="0" lang="en-US" sz="1400" b="1" i="0" u="none" strike="noStrike" kern="1200" cap="none" spc="0" normalizeH="0" baseline="0" noProof="0">
              <a:ln>
                <a:noFill/>
              </a:ln>
              <a:solidFill>
                <a:sysClr val="windowText" lastClr="000000">
                  <a:lumMod val="65000"/>
                  <a:lumOff val="35000"/>
                </a:sysClr>
              </a:solidFill>
              <a:effectLst/>
              <a:uLnTx/>
              <a:uFillTx/>
              <a:latin typeface="Aptos Narrow" panose="02110004020202020204"/>
            </a:rPr>
            <a:t>Cloud + AI Infrastructure Portfolio</a:t>
          </a:r>
        </a:p>
      </cx:txPr>
    </cx:title>
    <cx:plotArea>
      <cx:plotAreaRegion>
        <cx:series layoutId="waterfall" uniqueId="{B62FEB83-BD23-454B-9D49-4409DD5FFFE3}">
          <cx:tx>
            <cx:txData>
              <cx:f>_xlchart.v1.30</cx:f>
              <cx:v>Cloud + AI Infrastructure</cx:v>
            </cx:txData>
          </cx:tx>
          <cx:dataPt idx="0">
            <cx:spPr>
              <a:solidFill>
                <a:srgbClr val="FF0000"/>
              </a:solidFill>
            </cx:spPr>
          </cx:dataPt>
          <cx:dataPt idx="1">
            <cx:spPr>
              <a:solidFill>
                <a:srgbClr val="FF0000"/>
              </a:solidFill>
            </cx:spPr>
          </cx:dataPt>
          <cx:dataPt idx="2">
            <cx:spPr>
              <a:solidFill>
                <a:srgbClr val="E97132"/>
              </a:solidFill>
            </cx:spPr>
          </cx:dataPt>
          <cx:dataPt idx="3">
            <cx:spPr>
              <a:solidFill>
                <a:srgbClr val="E97132"/>
              </a:solidFill>
            </cx:spPr>
          </cx:dataPt>
          <cx:dataPt idx="4">
            <cx:spPr>
              <a:solidFill>
                <a:srgbClr val="196B24"/>
              </a:solidFill>
            </cx:spPr>
          </cx:dataPt>
          <cx:dataPt idx="5">
            <cx:spPr>
              <a:solidFill>
                <a:srgbClr val="196B24"/>
              </a:solidFill>
            </cx:spPr>
          </cx:dataPt>
          <cx:dataPt idx="6">
            <cx:spPr>
              <a:solidFill>
                <a:srgbClr val="196B24"/>
              </a:solidFill>
            </cx:spPr>
          </cx:dataPt>
          <cx:dataId val="0"/>
          <cx:layoutPr>
            <cx:subtotals/>
          </cx:layoutPr>
        </cx:series>
      </cx:plotAreaRegion>
      <cx:axis id="0">
        <cx:catScaling/>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axis id="1">
        <cx:valScaling/>
        <cx:majorGridlines/>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hartEx12.xml><?xml version="1.0" encoding="utf-8"?>
<cx:chartSpace xmlns:a="http://schemas.openxmlformats.org/drawingml/2006/main" xmlns:r="http://schemas.openxmlformats.org/officeDocument/2006/relationships" xmlns:cx="http://schemas.microsoft.com/office/drawing/2014/chartex">
  <cx:chartData>
    <cx:data id="0">
      <cx:strDim type="cat">
        <cx:f>_xlchart.v1.35</cx:f>
      </cx:strDim>
      <cx:numDim type="val">
        <cx:f>_xlchart.v1.34</cx:f>
      </cx:numDim>
    </cx:data>
  </cx:chartData>
  <cx:chart>
    <cx:title pos="t" align="ctr" overlay="0">
      <cx:tx>
        <cx:txData>
          <cx:v>Webex Suite</cx:v>
        </cx:txData>
      </cx:tx>
      <cx:txPr>
        <a:bodyPr rot="0" spcFirstLastPara="1" vertOverflow="ellipsis" vert="horz" wrap="square" lIns="38100" tIns="19050" rIns="38100" bIns="19050" anchor="ctr" anchorCtr="1" compatLnSpc="0"/>
        <a:lstStyle/>
        <a:p>
          <a:pPr algn="ctr" rtl="0">
            <a:defRPr sz="1400" b="1" i="0" u="none" strike="noStrike" kern="1200" spc="0" baseline="0">
              <a:solidFill>
                <a:sysClr val="windowText" lastClr="000000">
                  <a:lumMod val="65000"/>
                  <a:lumOff val="35000"/>
                </a:sysClr>
              </a:solidFill>
              <a:latin typeface="+mn-lt"/>
              <a:ea typeface="+mn-ea"/>
              <a:cs typeface="+mn-cs"/>
            </a:defRPr>
          </a:pPr>
          <a:r>
            <a:rPr kumimoji="0" lang="en-US" sz="1400" b="1" i="0" u="none" strike="noStrike" kern="1200" cap="none" spc="0" normalizeH="0" baseline="0" noProof="0">
              <a:ln>
                <a:noFill/>
              </a:ln>
              <a:solidFill>
                <a:sysClr val="windowText" lastClr="000000">
                  <a:lumMod val="65000"/>
                  <a:lumOff val="35000"/>
                </a:sysClr>
              </a:solidFill>
              <a:effectLst/>
              <a:uLnTx/>
              <a:uFillTx/>
              <a:latin typeface="Aptos Narrow" panose="02110004020202020204"/>
            </a:rPr>
            <a:t>Webex Suite</a:t>
          </a:r>
        </a:p>
      </cx:txPr>
    </cx:title>
    <cx:plotArea>
      <cx:plotAreaRegion>
        <cx:series layoutId="waterfall" uniqueId="{A66FF8DF-D3EB-4BD2-BFB3-2F8C34F4D29F}">
          <cx:tx>
            <cx:txData>
              <cx:f>_xlchart.v1.33</cx:f>
              <cx:v>Webex Suite</cx:v>
            </cx:txData>
          </cx:tx>
          <cx:dataPt idx="0">
            <cx:spPr>
              <a:solidFill>
                <a:srgbClr val="FF0000"/>
              </a:solidFill>
            </cx:spPr>
          </cx:dataPt>
          <cx:dataPt idx="1">
            <cx:spPr>
              <a:solidFill>
                <a:srgbClr val="FF0000"/>
              </a:solidFill>
            </cx:spPr>
          </cx:dataPt>
          <cx:dataPt idx="2">
            <cx:spPr>
              <a:solidFill>
                <a:srgbClr val="E97132"/>
              </a:solidFill>
            </cx:spPr>
          </cx:dataPt>
          <cx:dataPt idx="3">
            <cx:spPr>
              <a:solidFill>
                <a:srgbClr val="E97132"/>
              </a:solidFill>
            </cx:spPr>
          </cx:dataPt>
          <cx:dataPt idx="4">
            <cx:spPr>
              <a:solidFill>
                <a:srgbClr val="196B24"/>
              </a:solidFill>
            </cx:spPr>
          </cx:dataPt>
          <cx:dataPt idx="5">
            <cx:spPr>
              <a:solidFill>
                <a:srgbClr val="196B24"/>
              </a:solidFill>
            </cx:spPr>
          </cx:dataPt>
          <cx:dataPt idx="6">
            <cx:spPr>
              <a:solidFill>
                <a:srgbClr val="196B24"/>
              </a:solidFill>
            </cx:spPr>
          </cx:dataPt>
          <cx:dataId val="0"/>
          <cx:layoutPr>
            <cx:subtotals/>
          </cx:layoutPr>
        </cx:series>
      </cx:plotAreaRegion>
      <cx:axis id="0">
        <cx:catScaling/>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axis id="1">
        <cx:valScaling/>
        <cx:majorGridlines/>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hartEx13.xml><?xml version="1.0" encoding="utf-8"?>
<cx:chartSpace xmlns:a="http://schemas.openxmlformats.org/drawingml/2006/main" xmlns:r="http://schemas.openxmlformats.org/officeDocument/2006/relationships" xmlns:cx="http://schemas.microsoft.com/office/drawing/2014/chartex">
  <cx:chartData>
    <cx:data id="0">
      <cx:strDim type="cat">
        <cx:f>_xlchart.v1.47</cx:f>
      </cx:strDim>
      <cx:numDim type="val">
        <cx:f>_xlchart.v1.46</cx:f>
      </cx:numDim>
    </cx:data>
  </cx:chartData>
  <cx:chart>
    <cx:title pos="t" align="ctr" overlay="0">
      <cx:tx>
        <cx:txData>
          <cx:v>Cisco Contact Center</cx:v>
        </cx:txData>
      </cx:tx>
      <cx:txPr>
        <a:bodyPr rot="0" spcFirstLastPara="1" vertOverflow="ellipsis" vert="horz" wrap="square" lIns="38100" tIns="19050" rIns="38100" bIns="19050" anchor="ctr" anchorCtr="1" compatLnSpc="0"/>
        <a:lstStyle/>
        <a:p>
          <a:pPr algn="ctr" rtl="0">
            <a:defRPr sz="1400" b="1" i="0" u="none" strike="noStrike" kern="1200" spc="0" baseline="0">
              <a:solidFill>
                <a:sysClr val="windowText" lastClr="000000">
                  <a:lumMod val="65000"/>
                  <a:lumOff val="35000"/>
                </a:sysClr>
              </a:solidFill>
              <a:latin typeface="+mn-lt"/>
              <a:ea typeface="+mn-ea"/>
              <a:cs typeface="+mn-cs"/>
            </a:defRPr>
          </a:pPr>
          <a:r>
            <a:rPr kumimoji="0" lang="en-US" sz="1400" b="1" i="0" u="none" strike="noStrike" kern="1200" cap="none" spc="0" normalizeH="0" baseline="0" noProof="0">
              <a:ln>
                <a:noFill/>
              </a:ln>
              <a:solidFill>
                <a:sysClr val="windowText" lastClr="000000">
                  <a:lumMod val="65000"/>
                  <a:lumOff val="35000"/>
                </a:sysClr>
              </a:solidFill>
              <a:effectLst/>
              <a:uLnTx/>
              <a:uFillTx/>
              <a:latin typeface="Aptos Narrow" panose="02110004020202020204"/>
            </a:rPr>
            <a:t>Cisco Contact Center</a:t>
          </a:r>
        </a:p>
      </cx:txPr>
    </cx:title>
    <cx:plotArea>
      <cx:plotAreaRegion>
        <cx:series layoutId="waterfall" uniqueId="{9FAA8DC2-370F-4847-9B12-4E2E71B984D2}">
          <cx:tx>
            <cx:txData>
              <cx:f>_xlchart.v1.45</cx:f>
              <cx:v>Cisco Contact Center</cx:v>
            </cx:txData>
          </cx:tx>
          <cx:dataPt idx="0">
            <cx:spPr>
              <a:solidFill>
                <a:srgbClr val="FF0000"/>
              </a:solidFill>
            </cx:spPr>
          </cx:dataPt>
          <cx:dataPt idx="1">
            <cx:spPr>
              <a:solidFill>
                <a:srgbClr val="FF0000"/>
              </a:solidFill>
            </cx:spPr>
          </cx:dataPt>
          <cx:dataPt idx="2">
            <cx:spPr>
              <a:solidFill>
                <a:srgbClr val="E97132"/>
              </a:solidFill>
            </cx:spPr>
          </cx:dataPt>
          <cx:dataPt idx="3">
            <cx:spPr>
              <a:solidFill>
                <a:srgbClr val="E97132"/>
              </a:solidFill>
            </cx:spPr>
          </cx:dataPt>
          <cx:dataPt idx="4">
            <cx:spPr>
              <a:solidFill>
                <a:srgbClr val="196B24"/>
              </a:solidFill>
            </cx:spPr>
          </cx:dataPt>
          <cx:dataPt idx="5">
            <cx:spPr>
              <a:solidFill>
                <a:srgbClr val="196B24"/>
              </a:solidFill>
            </cx:spPr>
          </cx:dataPt>
          <cx:dataPt idx="6">
            <cx:spPr>
              <a:solidFill>
                <a:srgbClr val="196B24"/>
              </a:solidFill>
            </cx:spPr>
          </cx:dataPt>
          <cx:dataId val="0"/>
          <cx:layoutPr>
            <cx:subtotals/>
          </cx:layoutPr>
        </cx:series>
      </cx:plotAreaRegion>
      <cx:axis id="0">
        <cx:catScaling/>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axis id="1">
        <cx:valScaling/>
        <cx:majorGridlines/>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hartEx14.xml><?xml version="1.0" encoding="utf-8"?>
<cx:chartSpace xmlns:a="http://schemas.openxmlformats.org/drawingml/2006/main" xmlns:r="http://schemas.openxmlformats.org/officeDocument/2006/relationships" xmlns:cx="http://schemas.microsoft.com/office/drawing/2014/chartex">
  <cx:chartData>
    <cx:data id="0">
      <cx:strDim type="cat">
        <cx:f>_xlchart.v1.38</cx:f>
      </cx:strDim>
      <cx:numDim type="val">
        <cx:f>_xlchart.v1.37</cx:f>
      </cx:numDim>
    </cx:data>
  </cx:chartData>
  <cx:chart>
    <cx:title pos="t" align="ctr" overlay="0">
      <cx:tx>
        <cx:txData>
          <cx:v>Collaboration Portfolio</cx:v>
        </cx:txData>
      </cx:tx>
      <cx:txPr>
        <a:bodyPr rot="0" spcFirstLastPara="1" vertOverflow="ellipsis" vert="horz" wrap="square" lIns="38100" tIns="19050" rIns="38100" bIns="19050" anchor="ctr" anchorCtr="1" compatLnSpc="0"/>
        <a:lstStyle/>
        <a:p>
          <a:pPr algn="ctr" rtl="0">
            <a:defRPr sz="1400" b="1" i="0" u="none" strike="noStrike" kern="1200" spc="0" baseline="0">
              <a:solidFill>
                <a:sysClr val="windowText" lastClr="000000">
                  <a:lumMod val="65000"/>
                  <a:lumOff val="35000"/>
                </a:sysClr>
              </a:solidFill>
              <a:latin typeface="+mn-lt"/>
              <a:ea typeface="+mn-ea"/>
              <a:cs typeface="+mn-cs"/>
            </a:defRPr>
          </a:pPr>
          <a:r>
            <a:rPr kumimoji="0" lang="en-US" sz="1400" b="1" i="0" u="none" strike="noStrike" kern="1200" cap="none" spc="0" normalizeH="0" baseline="0" noProof="0">
              <a:ln>
                <a:noFill/>
              </a:ln>
              <a:solidFill>
                <a:sysClr val="windowText" lastClr="000000">
                  <a:lumMod val="65000"/>
                  <a:lumOff val="35000"/>
                </a:sysClr>
              </a:solidFill>
              <a:effectLst/>
              <a:uLnTx/>
              <a:uFillTx/>
              <a:latin typeface="Aptos Narrow" panose="02110004020202020204"/>
            </a:rPr>
            <a:t>Collaboration Portfolio</a:t>
          </a:r>
        </a:p>
      </cx:txPr>
    </cx:title>
    <cx:plotArea>
      <cx:plotAreaRegion>
        <cx:series layoutId="waterfall" uniqueId="{B62FEB83-BD23-454B-9D49-4409DD5FFFE3}">
          <cx:tx>
            <cx:txData>
              <cx:f>_xlchart.v1.36</cx:f>
              <cx:v>Collaboration</cx:v>
            </cx:txData>
          </cx:tx>
          <cx:dataPt idx="0">
            <cx:spPr>
              <a:solidFill>
                <a:srgbClr val="FF0000"/>
              </a:solidFill>
            </cx:spPr>
          </cx:dataPt>
          <cx:dataPt idx="1">
            <cx:spPr>
              <a:solidFill>
                <a:srgbClr val="FF0000"/>
              </a:solidFill>
            </cx:spPr>
          </cx:dataPt>
          <cx:dataPt idx="2">
            <cx:spPr>
              <a:solidFill>
                <a:srgbClr val="E97132"/>
              </a:solidFill>
            </cx:spPr>
          </cx:dataPt>
          <cx:dataPt idx="3">
            <cx:spPr>
              <a:solidFill>
                <a:srgbClr val="E97132"/>
              </a:solidFill>
            </cx:spPr>
          </cx:dataPt>
          <cx:dataPt idx="4">
            <cx:spPr>
              <a:solidFill>
                <a:srgbClr val="196B24"/>
              </a:solidFill>
            </cx:spPr>
          </cx:dataPt>
          <cx:dataPt idx="5">
            <cx:spPr>
              <a:solidFill>
                <a:srgbClr val="196B24"/>
              </a:solidFill>
            </cx:spPr>
          </cx:dataPt>
          <cx:dataPt idx="6">
            <cx:spPr>
              <a:solidFill>
                <a:srgbClr val="196B24"/>
              </a:solidFill>
            </cx:spPr>
          </cx:dataPt>
          <cx:dataId val="0"/>
          <cx:layoutPr>
            <cx:subtotals/>
          </cx:layoutPr>
        </cx:series>
      </cx:plotAreaRegion>
      <cx:axis id="0">
        <cx:catScaling/>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axis id="1">
        <cx:valScaling/>
        <cx:majorGridlines/>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hartEx15.xml><?xml version="1.0" encoding="utf-8"?>
<cx:chartSpace xmlns:a="http://schemas.openxmlformats.org/drawingml/2006/main" xmlns:r="http://schemas.openxmlformats.org/officeDocument/2006/relationships" xmlns:cx="http://schemas.microsoft.com/office/drawing/2014/chartex">
  <cx:chartData>
    <cx:data id="0">
      <cx:strDim type="cat">
        <cx:f>_xlchart.v1.39</cx:f>
      </cx:strDim>
      <cx:numDim type="val">
        <cx:f>_xlchart.v1.41</cx:f>
      </cx:numDim>
    </cx:data>
  </cx:chartData>
  <cx:chart>
    <cx:title pos="t" align="ctr" overlay="0">
      <cx:tx>
        <cx:txData>
          <cx:v>Cisco Secure Network Analytics</cx:v>
        </cx:txData>
      </cx:tx>
      <cx:txPr>
        <a:bodyPr rot="0" spcFirstLastPara="1" vertOverflow="ellipsis" vert="horz" wrap="square" lIns="38100" tIns="19050" rIns="38100" bIns="19050" anchor="ctr" anchorCtr="1" compatLnSpc="0"/>
        <a:lstStyle/>
        <a:p>
          <a:pPr algn="ctr" rtl="0">
            <a:defRPr sz="1400" b="1" i="0" u="none" strike="noStrike" kern="1200" spc="0" baseline="0">
              <a:solidFill>
                <a:sysClr val="windowText" lastClr="000000">
                  <a:lumMod val="65000"/>
                  <a:lumOff val="35000"/>
                </a:sysClr>
              </a:solidFill>
              <a:latin typeface="+mn-lt"/>
              <a:ea typeface="+mn-ea"/>
              <a:cs typeface="+mn-cs"/>
            </a:defRPr>
          </a:pPr>
          <a:r>
            <a:rPr kumimoji="0" lang="en-US" sz="1400" b="1" i="0" u="none" strike="noStrike" kern="1200" cap="none" spc="0" normalizeH="0" baseline="0" noProof="0">
              <a:ln>
                <a:noFill/>
              </a:ln>
              <a:solidFill>
                <a:sysClr val="windowText" lastClr="000000">
                  <a:lumMod val="65000"/>
                  <a:lumOff val="35000"/>
                </a:sysClr>
              </a:solidFill>
              <a:effectLst/>
              <a:uLnTx/>
              <a:uFillTx/>
              <a:latin typeface="Aptos Narrow" panose="02110004020202020204"/>
            </a:rPr>
            <a:t>Cisco Secure Network Analytics</a:t>
          </a:r>
        </a:p>
      </cx:txPr>
    </cx:title>
    <cx:plotArea>
      <cx:plotAreaRegion>
        <cx:series layoutId="waterfall" uniqueId="{D42DB6D3-4389-440C-A626-98038FD99677}">
          <cx:tx>
            <cx:txData>
              <cx:f>_xlchart.v1.40</cx:f>
              <cx:v>Cisco Secure Network Analytics</cx:v>
            </cx:txData>
          </cx:tx>
          <cx:dataPt idx="0">
            <cx:spPr>
              <a:solidFill>
                <a:srgbClr val="FF0000"/>
              </a:solidFill>
            </cx:spPr>
          </cx:dataPt>
          <cx:dataPt idx="1">
            <cx:spPr>
              <a:solidFill>
                <a:srgbClr val="FF0000"/>
              </a:solidFill>
            </cx:spPr>
          </cx:dataPt>
          <cx:dataPt idx="2">
            <cx:spPr>
              <a:solidFill>
                <a:srgbClr val="E97132"/>
              </a:solidFill>
            </cx:spPr>
          </cx:dataPt>
          <cx:dataPt idx="3">
            <cx:spPr>
              <a:solidFill>
                <a:srgbClr val="E97132"/>
              </a:solidFill>
            </cx:spPr>
          </cx:dataPt>
          <cx:dataPt idx="4">
            <cx:spPr>
              <a:solidFill>
                <a:srgbClr val="196B24"/>
              </a:solidFill>
            </cx:spPr>
          </cx:dataPt>
          <cx:dataPt idx="5">
            <cx:spPr>
              <a:solidFill>
                <a:srgbClr val="196B24"/>
              </a:solidFill>
            </cx:spPr>
          </cx:dataPt>
          <cx:dataPt idx="6">
            <cx:spPr>
              <a:solidFill>
                <a:srgbClr val="196B24"/>
              </a:solidFill>
            </cx:spPr>
          </cx:dataPt>
          <cx:dataId val="0"/>
          <cx:layoutPr>
            <cx:subtotals/>
          </cx:layoutPr>
        </cx:series>
      </cx:plotAreaRegion>
      <cx:axis id="0">
        <cx:catScaling/>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axis id="1">
        <cx:valScaling/>
        <cx:majorGridlines/>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hartEx16.xml><?xml version="1.0" encoding="utf-8"?>
<cx:chartSpace xmlns:a="http://schemas.openxmlformats.org/drawingml/2006/main" xmlns:r="http://schemas.openxmlformats.org/officeDocument/2006/relationships" xmlns:cx="http://schemas.microsoft.com/office/drawing/2014/chartex">
  <cx:chartData>
    <cx:data id="0">
      <cx:strDim type="cat">
        <cx:f>_xlchart.v1.42</cx:f>
      </cx:strDim>
      <cx:numDim type="val">
        <cx:f>_xlchart.v1.44</cx:f>
      </cx:numDim>
    </cx:data>
  </cx:chartData>
  <cx:chart>
    <cx:title pos="t" align="ctr" overlay="0">
      <cx:tx>
        <cx:txData>
          <cx:v>Identity Services Engine</cx:v>
        </cx:txData>
      </cx:tx>
      <cx:txPr>
        <a:bodyPr rot="0" spcFirstLastPara="1" vertOverflow="ellipsis" vert="horz" wrap="square" lIns="38100" tIns="19050" rIns="38100" bIns="19050" anchor="ctr" anchorCtr="1" compatLnSpc="0"/>
        <a:lstStyle/>
        <a:p>
          <a:pPr algn="ctr" rtl="0">
            <a:defRPr sz="1400" b="1" i="0" u="none" strike="noStrike" kern="1200" spc="0" baseline="0">
              <a:solidFill>
                <a:sysClr val="windowText" lastClr="000000">
                  <a:lumMod val="65000"/>
                  <a:lumOff val="35000"/>
                </a:sysClr>
              </a:solidFill>
              <a:latin typeface="+mn-lt"/>
              <a:ea typeface="+mn-ea"/>
              <a:cs typeface="+mn-cs"/>
            </a:defRPr>
          </a:pPr>
          <a:r>
            <a:rPr kumimoji="0" lang="en-US" sz="1400" b="1" i="0" u="none" strike="noStrike" kern="1200" cap="none" spc="0" normalizeH="0" baseline="0" noProof="0">
              <a:ln>
                <a:noFill/>
              </a:ln>
              <a:solidFill>
                <a:sysClr val="windowText" lastClr="000000">
                  <a:lumMod val="65000"/>
                  <a:lumOff val="35000"/>
                </a:sysClr>
              </a:solidFill>
              <a:effectLst/>
              <a:uLnTx/>
              <a:uFillTx/>
              <a:latin typeface="Aptos Narrow" panose="02110004020202020204"/>
            </a:rPr>
            <a:t>Identity Services Engine</a:t>
          </a:r>
        </a:p>
      </cx:txPr>
    </cx:title>
    <cx:plotArea>
      <cx:plotAreaRegion>
        <cx:series layoutId="waterfall" uniqueId="{E5BCE082-DEE0-4C40-AF46-B914504A9BDF}">
          <cx:tx>
            <cx:txData>
              <cx:f>_xlchart.v1.43</cx:f>
              <cx:v>Identity Services Engine</cx:v>
            </cx:txData>
          </cx:tx>
          <cx:dataPt idx="0">
            <cx:spPr>
              <a:solidFill>
                <a:srgbClr val="FF0000"/>
              </a:solidFill>
            </cx:spPr>
          </cx:dataPt>
          <cx:dataPt idx="1">
            <cx:spPr>
              <a:solidFill>
                <a:srgbClr val="FF0000"/>
              </a:solidFill>
            </cx:spPr>
          </cx:dataPt>
          <cx:dataPt idx="2">
            <cx:spPr>
              <a:solidFill>
                <a:srgbClr val="E97132"/>
              </a:solidFill>
            </cx:spPr>
          </cx:dataPt>
          <cx:dataPt idx="3">
            <cx:spPr>
              <a:solidFill>
                <a:srgbClr val="E97132"/>
              </a:solidFill>
            </cx:spPr>
          </cx:dataPt>
          <cx:dataPt idx="4">
            <cx:spPr>
              <a:solidFill>
                <a:srgbClr val="196B24"/>
              </a:solidFill>
            </cx:spPr>
          </cx:dataPt>
          <cx:dataPt idx="5">
            <cx:spPr>
              <a:solidFill>
                <a:srgbClr val="196B24"/>
              </a:solidFill>
            </cx:spPr>
          </cx:dataPt>
          <cx:dataPt idx="6">
            <cx:spPr>
              <a:solidFill>
                <a:srgbClr val="196B24"/>
              </a:solidFill>
            </cx:spPr>
          </cx:dataPt>
          <cx:dataId val="0"/>
          <cx:layoutPr>
            <cx:subtotals/>
          </cx:layoutPr>
        </cx:series>
      </cx:plotAreaRegion>
      <cx:axis id="0">
        <cx:catScaling/>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axis id="1">
        <cx:valScaling/>
        <cx:majorGridlines/>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Spin" dx="35" fmlaLink="target_adopt_net" inc="2" max="100" page="10" val="0"/>
</file>

<file path=xl/ctrlProps/ctrlProp7.xml><?xml version="1.0" encoding="utf-8"?>
<formControlPr xmlns="http://schemas.microsoft.com/office/spreadsheetml/2009/9/main" objectType="Spin" dx="35" fmlaLink="target_onboard_net" inc="3" max="100" page="10" val="0"/>
</file>

<file path=xl/ctrlProps/ctrlProp8.xml><?xml version="1.0" encoding="utf-8"?>
<formControlPr xmlns="http://schemas.microsoft.com/office/spreadsheetml/2009/9/main" objectType="Spin" dx="35" fmlaLink="target_adopt_sec" inc="2" max="100" page="10" val="0"/>
</file>

<file path=xl/ctrlProps/ctrlProp9.xml><?xml version="1.0" encoding="utf-8"?>
<formControlPr xmlns="http://schemas.microsoft.com/office/spreadsheetml/2009/9/main" objectType="Spin" dx="35" fmlaLink="target_onboard_sec" inc="3" max="100" page="10" val="0"/>
</file>

<file path=xl/ctrlProps/ctrlProp10.xml><?xml version="1.0" encoding="utf-8"?>
<formControlPr xmlns="http://schemas.microsoft.com/office/spreadsheetml/2009/9/main" objectType="Spin" dx="35" fmlaLink="target_adopt_cloud" inc="2" max="100" page="10" val="0"/>
</file>

<file path=xl/ctrlProps/ctrlProp11.xml><?xml version="1.0" encoding="utf-8"?>
<formControlPr xmlns="http://schemas.microsoft.com/office/spreadsheetml/2009/9/main" objectType="Spin" dx="35" fmlaLink="target_onboard_cloud" inc="3" max="100" page="10" val="0"/>
</file>

<file path=xl/ctrlProps/ctrlProp1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8" Type="http://schemas.microsoft.com/office/2014/relationships/chartEx" Target="../charts/chartEx8.xml"/><Relationship Id="rId13" Type="http://schemas.microsoft.com/office/2014/relationships/chartEx" Target="../charts/chartEx13.xml"/><Relationship Id="rId3" Type="http://schemas.microsoft.com/office/2014/relationships/chartEx" Target="../charts/chartEx3.xml"/><Relationship Id="rId7" Type="http://schemas.microsoft.com/office/2014/relationships/chartEx" Target="../charts/chartEx7.xml"/><Relationship Id="rId12" Type="http://schemas.microsoft.com/office/2014/relationships/chartEx" Target="../charts/chartEx12.xml"/><Relationship Id="rId17" Type="http://schemas.microsoft.com/office/2014/relationships/chartEx" Target="../charts/chartEx16.xml"/><Relationship Id="rId2" Type="http://schemas.microsoft.com/office/2014/relationships/chartEx" Target="../charts/chartEx2.xml"/><Relationship Id="rId16" Type="http://schemas.microsoft.com/office/2014/relationships/chartEx" Target="../charts/chartEx15.xml"/><Relationship Id="rId1" Type="http://schemas.microsoft.com/office/2014/relationships/chartEx" Target="../charts/chartEx1.xml"/><Relationship Id="rId6" Type="http://schemas.microsoft.com/office/2014/relationships/chartEx" Target="../charts/chartEx6.xml"/><Relationship Id="rId11" Type="http://schemas.microsoft.com/office/2014/relationships/chartEx" Target="../charts/chartEx11.xml"/><Relationship Id="rId5" Type="http://schemas.microsoft.com/office/2014/relationships/chartEx" Target="../charts/chartEx5.xml"/><Relationship Id="rId15" Type="http://schemas.openxmlformats.org/officeDocument/2006/relationships/chart" Target="../charts/chart1.xml"/><Relationship Id="rId10" Type="http://schemas.microsoft.com/office/2014/relationships/chartEx" Target="../charts/chartEx10.xml"/><Relationship Id="rId4" Type="http://schemas.microsoft.com/office/2014/relationships/chartEx" Target="../charts/chartEx4.xml"/><Relationship Id="rId9" Type="http://schemas.microsoft.com/office/2014/relationships/chartEx" Target="../charts/chartEx9.xml"/><Relationship Id="rId14" Type="http://schemas.microsoft.com/office/2014/relationships/chartEx" Target="../charts/chartEx14.xml"/></Relationships>
</file>

<file path=xl/drawings/_rels/drawing5.xml.rels><?xml version="1.0" encoding="UTF-8" standalone="yes"?>
<Relationships xmlns="http://schemas.openxmlformats.org/package/2006/relationships"><Relationship Id="rId3" Type="http://schemas.openxmlformats.org/officeDocument/2006/relationships/chart" Target="../charts/chart4.xml"/><Relationship Id="rId7" Type="http://schemas.openxmlformats.org/officeDocument/2006/relationships/chart" Target="../charts/chart8.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299357</xdr:colOff>
          <xdr:row>20</xdr:row>
          <xdr:rowOff>87086</xdr:rowOff>
        </xdr:from>
        <xdr:to>
          <xdr:col>7</xdr:col>
          <xdr:colOff>342900</xdr:colOff>
          <xdr:row>21</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900" b="1" i="0" u="none" strike="noStrike" baseline="0">
                  <a:solidFill>
                    <a:srgbClr val="000000"/>
                  </a:solidFill>
                  <a:latin typeface="Aptos Narrow"/>
                </a:rPr>
                <a:t>Load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59871</xdr:colOff>
          <xdr:row>9</xdr:row>
          <xdr:rowOff>43543</xdr:rowOff>
        </xdr:from>
        <xdr:to>
          <xdr:col>5</xdr:col>
          <xdr:colOff>571500</xdr:colOff>
          <xdr:row>9</xdr:row>
          <xdr:rowOff>337457</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100" b="1" i="0" u="none" strike="noStrike" baseline="0">
                  <a:solidFill>
                    <a:srgbClr val="000000"/>
                  </a:solidFill>
                  <a:latin typeface="Aptos Narrow"/>
                </a:rPr>
                <a:t>Reset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332014</xdr:colOff>
          <xdr:row>6</xdr:row>
          <xdr:rowOff>130629</xdr:rowOff>
        </xdr:from>
        <xdr:to>
          <xdr:col>3</xdr:col>
          <xdr:colOff>217714</xdr:colOff>
          <xdr:row>8</xdr:row>
          <xdr:rowOff>38100</xdr:rowOff>
        </xdr:to>
        <xdr:sp macro="" textlink="">
          <xdr:nvSpPr>
            <xdr:cNvPr id="2051" name="Partner_button"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000" b="1" i="0" u="none" strike="noStrike" baseline="0">
                  <a:solidFill>
                    <a:srgbClr val="000000"/>
                  </a:solidFill>
                  <a:latin typeface="Aptos Narrow"/>
                </a:rPr>
                <a:t>Load Partner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435429</xdr:colOff>
          <xdr:row>6</xdr:row>
          <xdr:rowOff>136071</xdr:rowOff>
        </xdr:from>
        <xdr:to>
          <xdr:col>8</xdr:col>
          <xdr:colOff>326571</xdr:colOff>
          <xdr:row>8</xdr:row>
          <xdr:rowOff>38100</xdr:rowOff>
        </xdr:to>
        <xdr:sp macro="" textlink="">
          <xdr:nvSpPr>
            <xdr:cNvPr id="2052" name="Disti_button"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000" b="1" i="0" u="none" strike="noStrike" baseline="0">
                  <a:solidFill>
                    <a:srgbClr val="000000"/>
                  </a:solidFill>
                  <a:latin typeface="Aptos Narrow"/>
                </a:rPr>
                <a:t>Load Disti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xdr:col>
      <xdr:colOff>55006</xdr:colOff>
      <xdr:row>0</xdr:row>
      <xdr:rowOff>0</xdr:rowOff>
    </xdr:from>
    <xdr:to>
      <xdr:col>16</xdr:col>
      <xdr:colOff>1657051</xdr:colOff>
      <xdr:row>15</xdr:row>
      <xdr:rowOff>21557</xdr:rowOff>
    </xdr:to>
    <xdr:grpSp>
      <xdr:nvGrpSpPr>
        <xdr:cNvPr id="7" name="Group 6">
          <a:extLst>
            <a:ext uri="{FF2B5EF4-FFF2-40B4-BE49-F238E27FC236}">
              <a16:creationId xmlns:a16="http://schemas.microsoft.com/office/drawing/2014/main" id="{D4368ADB-40C2-9B0C-2055-822EE1815AD0}"/>
            </a:ext>
          </a:extLst>
        </xdr:cNvPr>
        <xdr:cNvGrpSpPr/>
      </xdr:nvGrpSpPr>
      <xdr:grpSpPr>
        <a:xfrm>
          <a:off x="57727" y="0"/>
          <a:ext cx="16803945" cy="3543086"/>
          <a:chOff x="55006" y="0"/>
          <a:chExt cx="16817550" cy="3545807"/>
        </a:xfrm>
      </xdr:grpSpPr>
      <mc:AlternateContent xmlns:mc="http://schemas.openxmlformats.org/markup-compatibility/2006" xmlns:a14="http://schemas.microsoft.com/office/drawing/2010/main">
        <mc:Choice Requires="a14">
          <xdr:graphicFrame macro="">
            <xdr:nvGraphicFramePr>
              <xdr:cNvPr id="4" name="UC 25-50% eligible w/o opt-in">
                <a:extLst>
                  <a:ext uri="{FF2B5EF4-FFF2-40B4-BE49-F238E27FC236}">
                    <a16:creationId xmlns:a16="http://schemas.microsoft.com/office/drawing/2014/main" id="{A63BED61-5529-84A9-B592-AA3D819400C4}"/>
                  </a:ext>
                </a:extLst>
              </xdr:cNvPr>
              <xdr:cNvGraphicFramePr/>
            </xdr:nvGraphicFramePr>
            <xdr:xfrm>
              <a:off x="11371338" y="0"/>
              <a:ext cx="2465592" cy="1100019"/>
            </xdr:xfrm>
            <a:graphic>
              <a:graphicData uri="http://schemas.microsoft.com/office/drawing/2010/slicer">
                <sle:slicer xmlns:sle="http://schemas.microsoft.com/office/drawing/2010/slicer" name="UC 25-50% eligible w/o opt-in"/>
              </a:graphicData>
            </a:graphic>
          </xdr:graphicFrame>
        </mc:Choice>
        <mc:Fallback xmlns="">
          <xdr:sp macro="" textlink="">
            <xdr:nvSpPr>
              <xdr:cNvPr id="0" name=""/>
              <xdr:cNvSpPr>
                <a:spLocks noTextEdit="1"/>
              </xdr:cNvSpPr>
            </xdr:nvSpPr>
            <xdr:spPr>
              <a:xfrm>
                <a:off x="11371338" y="0"/>
                <a:ext cx="2465592" cy="11000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 name="Level">
                <a:extLst>
                  <a:ext uri="{FF2B5EF4-FFF2-40B4-BE49-F238E27FC236}">
                    <a16:creationId xmlns:a16="http://schemas.microsoft.com/office/drawing/2014/main" id="{E8D7C61C-7C07-0381-2C9A-E5B81046381E}"/>
                  </a:ext>
                </a:extLst>
              </xdr:cNvPr>
              <xdr:cNvGraphicFramePr/>
            </xdr:nvGraphicFramePr>
            <xdr:xfrm>
              <a:off x="55010" y="20530"/>
              <a:ext cx="1523678" cy="1344166"/>
            </xdr:xfrm>
            <a:graphic>
              <a:graphicData uri="http://schemas.microsoft.com/office/drawing/2010/slicer">
                <sle:slicer xmlns:sle="http://schemas.microsoft.com/office/drawing/2010/slicer" name="Level"/>
              </a:graphicData>
            </a:graphic>
          </xdr:graphicFrame>
        </mc:Choice>
        <mc:Fallback xmlns="">
          <xdr:sp macro="" textlink="">
            <xdr:nvSpPr>
              <xdr:cNvPr id="0" name=""/>
              <xdr:cNvSpPr>
                <a:spLocks noTextEdit="1"/>
              </xdr:cNvSpPr>
            </xdr:nvSpPr>
            <xdr:spPr>
              <a:xfrm>
                <a:off x="55010" y="20530"/>
                <a:ext cx="1523678" cy="13441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 name="Stage">
                <a:extLst>
                  <a:ext uri="{FF2B5EF4-FFF2-40B4-BE49-F238E27FC236}">
                    <a16:creationId xmlns:a16="http://schemas.microsoft.com/office/drawing/2014/main" id="{DA2FC30F-40A1-9031-C42A-833249D96334}"/>
                  </a:ext>
                </a:extLst>
              </xdr:cNvPr>
              <xdr:cNvGraphicFramePr/>
            </xdr:nvGraphicFramePr>
            <xdr:xfrm>
              <a:off x="1579405" y="17894"/>
              <a:ext cx="1469260" cy="1346726"/>
            </xdr:xfrm>
            <a:graphic>
              <a:graphicData uri="http://schemas.microsoft.com/office/drawing/2010/slicer">
                <sle:slicer xmlns:sle="http://schemas.microsoft.com/office/drawing/2010/slicer" name="Stage"/>
              </a:graphicData>
            </a:graphic>
          </xdr:graphicFrame>
        </mc:Choice>
        <mc:Fallback xmlns="">
          <xdr:sp macro="" textlink="">
            <xdr:nvSpPr>
              <xdr:cNvPr id="0" name=""/>
              <xdr:cNvSpPr>
                <a:spLocks noTextEdit="1"/>
              </xdr:cNvSpPr>
            </xdr:nvSpPr>
            <xdr:spPr>
              <a:xfrm>
                <a:off x="1579405" y="17894"/>
                <a:ext cx="1469260" cy="134672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9" name="Offer">
                <a:extLst>
                  <a:ext uri="{FF2B5EF4-FFF2-40B4-BE49-F238E27FC236}">
                    <a16:creationId xmlns:a16="http://schemas.microsoft.com/office/drawing/2014/main" id="{4631CDC7-C804-3544-2C5E-373ACB599654}"/>
                  </a:ext>
                </a:extLst>
              </xdr:cNvPr>
              <xdr:cNvGraphicFramePr/>
            </xdr:nvGraphicFramePr>
            <xdr:xfrm>
              <a:off x="6584135" y="17586"/>
              <a:ext cx="2000485" cy="2162695"/>
            </xdr:xfrm>
            <a:graphic>
              <a:graphicData uri="http://schemas.microsoft.com/office/drawing/2010/slicer">
                <sle:slicer xmlns:sle="http://schemas.microsoft.com/office/drawing/2010/slicer" name="Offer"/>
              </a:graphicData>
            </a:graphic>
          </xdr:graphicFrame>
        </mc:Choice>
        <mc:Fallback xmlns="">
          <xdr:sp macro="" textlink="">
            <xdr:nvSpPr>
              <xdr:cNvPr id="0" name=""/>
              <xdr:cNvSpPr>
                <a:spLocks noTextEdit="1"/>
              </xdr:cNvSpPr>
            </xdr:nvSpPr>
            <xdr:spPr>
              <a:xfrm>
                <a:off x="6584135" y="17586"/>
                <a:ext cx="2000485" cy="216269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0" name="Use Case">
                <a:extLst>
                  <a:ext uri="{FF2B5EF4-FFF2-40B4-BE49-F238E27FC236}">
                    <a16:creationId xmlns:a16="http://schemas.microsoft.com/office/drawing/2014/main" id="{502F085C-8C8A-6A95-4ECA-AF943A7807DB}"/>
                  </a:ext>
                </a:extLst>
              </xdr:cNvPr>
              <xdr:cNvGraphicFramePr/>
            </xdr:nvGraphicFramePr>
            <xdr:xfrm>
              <a:off x="8574628" y="17562"/>
              <a:ext cx="2792675" cy="2162719"/>
            </xdr:xfrm>
            <a:graphic>
              <a:graphicData uri="http://schemas.microsoft.com/office/drawing/2010/slicer">
                <sle:slicer xmlns:sle="http://schemas.microsoft.com/office/drawing/2010/slicer" name="Use Case"/>
              </a:graphicData>
            </a:graphic>
          </xdr:graphicFrame>
        </mc:Choice>
        <mc:Fallback xmlns="">
          <xdr:sp macro="" textlink="">
            <xdr:nvSpPr>
              <xdr:cNvPr id="0" name=""/>
              <xdr:cNvSpPr>
                <a:spLocks noTextEdit="1"/>
              </xdr:cNvSpPr>
            </xdr:nvSpPr>
            <xdr:spPr>
              <a:xfrm>
                <a:off x="8574628" y="17562"/>
                <a:ext cx="2792675" cy="21627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2" name="Offer opted-in?">
                <a:extLst>
                  <a:ext uri="{FF2B5EF4-FFF2-40B4-BE49-F238E27FC236}">
                    <a16:creationId xmlns:a16="http://schemas.microsoft.com/office/drawing/2014/main" id="{FC37BB4A-6268-CB4D-086D-FD3401AAFD37}"/>
                  </a:ext>
                </a:extLst>
              </xdr:cNvPr>
              <xdr:cNvGraphicFramePr/>
            </xdr:nvGraphicFramePr>
            <xdr:xfrm>
              <a:off x="3049961" y="17560"/>
              <a:ext cx="1590123" cy="1083062"/>
            </xdr:xfrm>
            <a:graphic>
              <a:graphicData uri="http://schemas.microsoft.com/office/drawing/2010/slicer">
                <sle:slicer xmlns:sle="http://schemas.microsoft.com/office/drawing/2010/slicer" name="Offer opted-in?"/>
              </a:graphicData>
            </a:graphic>
          </xdr:graphicFrame>
        </mc:Choice>
        <mc:Fallback xmlns="">
          <xdr:sp macro="" textlink="">
            <xdr:nvSpPr>
              <xdr:cNvPr id="0" name=""/>
              <xdr:cNvSpPr>
                <a:spLocks noTextEdit="1"/>
              </xdr:cNvSpPr>
            </xdr:nvSpPr>
            <xdr:spPr>
              <a:xfrm>
                <a:off x="3049961" y="17560"/>
                <a:ext cx="1590123" cy="10830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1" name="Earned?">
                <a:extLst>
                  <a:ext uri="{FF2B5EF4-FFF2-40B4-BE49-F238E27FC236}">
                    <a16:creationId xmlns:a16="http://schemas.microsoft.com/office/drawing/2014/main" id="{B3234B5F-3A19-F427-B7E6-3D1933F453F4}"/>
                  </a:ext>
                </a:extLst>
              </xdr:cNvPr>
              <xdr:cNvGraphicFramePr/>
            </xdr:nvGraphicFramePr>
            <xdr:xfrm>
              <a:off x="3054220" y="1104509"/>
              <a:ext cx="1586594" cy="1071734"/>
            </xdr:xfrm>
            <a:graphic>
              <a:graphicData uri="http://schemas.microsoft.com/office/drawing/2010/slicer">
                <sle:slicer xmlns:sle="http://schemas.microsoft.com/office/drawing/2010/slicer" name="Earned?"/>
              </a:graphicData>
            </a:graphic>
          </xdr:graphicFrame>
        </mc:Choice>
        <mc:Fallback xmlns="">
          <xdr:sp macro="" textlink="">
            <xdr:nvSpPr>
              <xdr:cNvPr id="0" name=""/>
              <xdr:cNvSpPr>
                <a:spLocks noTextEdit="1"/>
              </xdr:cNvSpPr>
            </xdr:nvSpPr>
            <xdr:spPr>
              <a:xfrm>
                <a:off x="3054220" y="1104509"/>
                <a:ext cx="1586594" cy="107173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15483012" y="2064762"/>
                <a:ext cx="1221415" cy="539825"/>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100" b="1" i="0" u="none" strike="noStrike" baseline="0">
                    <a:solidFill>
                      <a:srgbClr val="000000"/>
                    </a:solidFill>
                    <a:latin typeface="Aptos Narrow"/>
                  </a:rPr>
                  <a:t>Clear all slicers</a:t>
                </a:r>
              </a:p>
            </xdr:txBody>
          </xdr:sp>
        </mc:Choice>
        <mc:Fallback/>
      </mc:AlternateContent>
      <mc:AlternateContent xmlns:mc="http://schemas.openxmlformats.org/markup-compatibility/2006" xmlns:a14="http://schemas.microsoft.com/office/drawing/2010/main">
        <mc:Choice Requires="a14">
          <xdr:graphicFrame macro="">
            <xdr:nvGraphicFramePr>
              <xdr:cNvPr id="13" name="UC 75% eligible w/o opt-in">
                <a:extLst>
                  <a:ext uri="{FF2B5EF4-FFF2-40B4-BE49-F238E27FC236}">
                    <a16:creationId xmlns:a16="http://schemas.microsoft.com/office/drawing/2014/main" id="{BC40AF0B-8F59-8FCE-955F-3965960EA73C}"/>
                  </a:ext>
                </a:extLst>
              </xdr:cNvPr>
              <xdr:cNvGraphicFramePr/>
            </xdr:nvGraphicFramePr>
            <xdr:xfrm>
              <a:off x="11370280" y="1064279"/>
              <a:ext cx="2467615" cy="1116007"/>
            </xdr:xfrm>
            <a:graphic>
              <a:graphicData uri="http://schemas.microsoft.com/office/drawing/2010/slicer">
                <sle:slicer xmlns:sle="http://schemas.microsoft.com/office/drawing/2010/slicer" name="UC 75% eligible w/o opt-in"/>
              </a:graphicData>
            </a:graphic>
          </xdr:graphicFrame>
        </mc:Choice>
        <mc:Fallback xmlns="">
          <xdr:sp macro="" textlink="">
            <xdr:nvSpPr>
              <xdr:cNvPr id="0" name=""/>
              <xdr:cNvSpPr>
                <a:spLocks noTextEdit="1"/>
              </xdr:cNvSpPr>
            </xdr:nvSpPr>
            <xdr:spPr>
              <a:xfrm>
                <a:off x="11370280" y="1064279"/>
                <a:ext cx="2467615" cy="11160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4" name="UC progressed and missed w/o opt-in">
                <a:extLst>
                  <a:ext uri="{FF2B5EF4-FFF2-40B4-BE49-F238E27FC236}">
                    <a16:creationId xmlns:a16="http://schemas.microsoft.com/office/drawing/2014/main" id="{1B329753-82D6-9438-9E0F-2BAA29DDDD30}"/>
                  </a:ext>
                </a:extLst>
              </xdr:cNvPr>
              <xdr:cNvGraphicFramePr/>
            </xdr:nvGraphicFramePr>
            <xdr:xfrm>
              <a:off x="11370569" y="2104522"/>
              <a:ext cx="2465474" cy="1065349"/>
            </xdr:xfrm>
            <a:graphic>
              <a:graphicData uri="http://schemas.microsoft.com/office/drawing/2010/slicer">
                <sle:slicer xmlns:sle="http://schemas.microsoft.com/office/drawing/2010/slicer" name="UC progressed and missed w/o opt-in"/>
              </a:graphicData>
            </a:graphic>
          </xdr:graphicFrame>
        </mc:Choice>
        <mc:Fallback xmlns="">
          <xdr:sp macro="" textlink="">
            <xdr:nvSpPr>
              <xdr:cNvPr id="0" name=""/>
              <xdr:cNvSpPr>
                <a:spLocks noTextEdit="1"/>
              </xdr:cNvSpPr>
            </xdr:nvSpPr>
            <xdr:spPr>
              <a:xfrm>
                <a:off x="11370569" y="2104522"/>
                <a:ext cx="2465474" cy="10653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 name="Expires &lt;3M?">
                <a:extLst>
                  <a:ext uri="{FF2B5EF4-FFF2-40B4-BE49-F238E27FC236}">
                    <a16:creationId xmlns:a16="http://schemas.microsoft.com/office/drawing/2014/main" id="{E4F7C750-BECF-E116-779F-512F6F540331}"/>
                  </a:ext>
                </a:extLst>
              </xdr:cNvPr>
              <xdr:cNvGraphicFramePr/>
            </xdr:nvGraphicFramePr>
            <xdr:xfrm>
              <a:off x="55006" y="1363223"/>
              <a:ext cx="1563857" cy="1076271"/>
            </xdr:xfrm>
            <a:graphic>
              <a:graphicData uri="http://schemas.microsoft.com/office/drawing/2010/slicer">
                <sle:slicer xmlns:sle="http://schemas.microsoft.com/office/drawing/2010/slicer" name="Expires &lt;3M?"/>
              </a:graphicData>
            </a:graphic>
          </xdr:graphicFrame>
        </mc:Choice>
        <mc:Fallback xmlns="">
          <xdr:sp macro="" textlink="">
            <xdr:nvSpPr>
              <xdr:cNvPr id="0" name=""/>
              <xdr:cNvSpPr>
                <a:spLocks noTextEdit="1"/>
              </xdr:cNvSpPr>
            </xdr:nvSpPr>
            <xdr:spPr>
              <a:xfrm>
                <a:off x="55006" y="1363223"/>
                <a:ext cx="1563857" cy="107627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5" name="EA Flag">
                <a:extLst>
                  <a:ext uri="{FF2B5EF4-FFF2-40B4-BE49-F238E27FC236}">
                    <a16:creationId xmlns:a16="http://schemas.microsoft.com/office/drawing/2014/main" id="{C44C4F36-AF9A-FB26-1766-3240D0A56CF5}"/>
                  </a:ext>
                </a:extLst>
              </xdr:cNvPr>
              <xdr:cNvGraphicFramePr/>
            </xdr:nvGraphicFramePr>
            <xdr:xfrm>
              <a:off x="55007" y="2449318"/>
              <a:ext cx="1558905" cy="1057782"/>
            </xdr:xfrm>
            <a:graphic>
              <a:graphicData uri="http://schemas.microsoft.com/office/drawing/2010/slicer">
                <sle:slicer xmlns:sle="http://schemas.microsoft.com/office/drawing/2010/slicer" name="EA Flag"/>
              </a:graphicData>
            </a:graphic>
          </xdr:graphicFrame>
        </mc:Choice>
        <mc:Fallback xmlns="">
          <xdr:sp macro="" textlink="">
            <xdr:nvSpPr>
              <xdr:cNvPr id="0" name=""/>
              <xdr:cNvSpPr>
                <a:spLocks noTextEdit="1"/>
              </xdr:cNvSpPr>
            </xdr:nvSpPr>
            <xdr:spPr>
              <a:xfrm>
                <a:off x="55007" y="2449318"/>
                <a:ext cx="1558905" cy="105778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8" name="Adopt Rebate Opt-In Status">
                <a:extLst>
                  <a:ext uri="{FF2B5EF4-FFF2-40B4-BE49-F238E27FC236}">
                    <a16:creationId xmlns:a16="http://schemas.microsoft.com/office/drawing/2014/main" id="{329C8628-CC63-4706-09F7-989DD48FA3DD}"/>
                  </a:ext>
                </a:extLst>
              </xdr:cNvPr>
              <xdr:cNvGraphicFramePr/>
            </xdr:nvGraphicFramePr>
            <xdr:xfrm>
              <a:off x="1579410" y="1360366"/>
              <a:ext cx="1456860" cy="1264193"/>
            </xdr:xfrm>
            <a:graphic>
              <a:graphicData uri="http://schemas.microsoft.com/office/drawing/2010/slicer">
                <sle:slicer xmlns:sle="http://schemas.microsoft.com/office/drawing/2010/slicer" name="Adopt Rebate Opt-In Status"/>
              </a:graphicData>
            </a:graphic>
          </xdr:graphicFrame>
        </mc:Choice>
        <mc:Fallback xmlns="">
          <xdr:sp macro="" textlink="">
            <xdr:nvSpPr>
              <xdr:cNvPr id="0" name=""/>
              <xdr:cNvSpPr>
                <a:spLocks noTextEdit="1"/>
              </xdr:cNvSpPr>
            </xdr:nvSpPr>
            <xdr:spPr>
              <a:xfrm>
                <a:off x="1579410" y="1360366"/>
                <a:ext cx="1456860" cy="126419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1" name="Offer Risk Level">
                <a:extLst>
                  <a:ext uri="{FF2B5EF4-FFF2-40B4-BE49-F238E27FC236}">
                    <a16:creationId xmlns:a16="http://schemas.microsoft.com/office/drawing/2014/main" id="{F56087DF-6DAF-2AF6-0037-537DDBD1CE1A}"/>
                  </a:ext>
                </a:extLst>
              </xdr:cNvPr>
              <xdr:cNvGraphicFramePr/>
            </xdr:nvGraphicFramePr>
            <xdr:xfrm>
              <a:off x="15269320" y="5540"/>
              <a:ext cx="1603236" cy="1658050"/>
            </xdr:xfrm>
            <a:graphic>
              <a:graphicData uri="http://schemas.microsoft.com/office/drawing/2010/slicer">
                <sle:slicer xmlns:sle="http://schemas.microsoft.com/office/drawing/2010/slicer" name="Offer Risk Level"/>
              </a:graphicData>
            </a:graphic>
          </xdr:graphicFrame>
        </mc:Choice>
        <mc:Fallback xmlns="">
          <xdr:sp macro="" textlink="">
            <xdr:nvSpPr>
              <xdr:cNvPr id="0" name=""/>
              <xdr:cNvSpPr>
                <a:spLocks noTextEdit="1"/>
              </xdr:cNvSpPr>
            </xdr:nvSpPr>
            <xdr:spPr>
              <a:xfrm>
                <a:off x="15269320" y="5540"/>
                <a:ext cx="1603236" cy="16580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6" name="Deal CPI Portfolio">
                <a:extLst>
                  <a:ext uri="{FF2B5EF4-FFF2-40B4-BE49-F238E27FC236}">
                    <a16:creationId xmlns:a16="http://schemas.microsoft.com/office/drawing/2014/main" id="{65703D2D-B992-E2A5-26B1-3404E1C06BA7}"/>
                  </a:ext>
                </a:extLst>
              </xdr:cNvPr>
              <xdr:cNvGraphicFramePr/>
            </xdr:nvGraphicFramePr>
            <xdr:xfrm>
              <a:off x="4623068" y="21168"/>
              <a:ext cx="1923717" cy="2138445"/>
            </xdr:xfrm>
            <a:graphic>
              <a:graphicData uri="http://schemas.microsoft.com/office/drawing/2010/slicer">
                <sle:slicer xmlns:sle="http://schemas.microsoft.com/office/drawing/2010/slicer" name="Deal CPI Portfolio"/>
              </a:graphicData>
            </a:graphic>
          </xdr:graphicFrame>
        </mc:Choice>
        <mc:Fallback xmlns="">
          <xdr:sp macro="" textlink="">
            <xdr:nvSpPr>
              <xdr:cNvPr id="0" name=""/>
              <xdr:cNvSpPr>
                <a:spLocks noTextEdit="1"/>
              </xdr:cNvSpPr>
            </xdr:nvSpPr>
            <xdr:spPr>
              <a:xfrm>
                <a:off x="4623068" y="21168"/>
                <a:ext cx="1923717" cy="21384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tsle="http://schemas.microsoft.com/office/drawing/2012/timeslicer">
        <mc:Choice Requires="tsle">
          <xdr:graphicFrame macro="">
            <xdr:nvGraphicFramePr>
              <xdr:cNvPr id="22" name="Booking Date">
                <a:extLst>
                  <a:ext uri="{FF2B5EF4-FFF2-40B4-BE49-F238E27FC236}">
                    <a16:creationId xmlns:a16="http://schemas.microsoft.com/office/drawing/2014/main" id="{D5B79B9B-AF6E-C69A-1AB6-FA0EF1121A43}"/>
                  </a:ext>
                </a:extLst>
              </xdr:cNvPr>
              <xdr:cNvGraphicFramePr/>
            </xdr:nvGraphicFramePr>
            <xdr:xfrm>
              <a:off x="4627148" y="2180394"/>
              <a:ext cx="3333324" cy="1365413"/>
            </xdr:xfrm>
            <a:graphic>
              <a:graphicData uri="http://schemas.microsoft.com/office/drawing/2012/timeslicer">
                <tsle:timeslicer name="Booking Date"/>
              </a:graphicData>
            </a:graphic>
          </xdr:graphicFrame>
        </mc:Choice>
        <mc:Fallback xmlns="">
          <xdr:sp macro="" textlink="">
            <xdr:nvSpPr>
              <xdr:cNvPr id="0" name=""/>
              <xdr:cNvSpPr>
                <a:spLocks noTextEdit="1"/>
              </xdr:cNvSpPr>
            </xdr:nvSpPr>
            <xdr:spPr>
              <a:xfrm>
                <a:off x="4627148" y="2180394"/>
                <a:ext cx="3333324" cy="1365413"/>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mc:AlternateContent xmlns:mc="http://schemas.openxmlformats.org/markup-compatibility/2006" xmlns:tsle="http://schemas.microsoft.com/office/drawing/2012/timeslicer">
        <mc:Choice Requires="tsle">
          <xdr:graphicFrame macro="">
            <xdr:nvGraphicFramePr>
              <xdr:cNvPr id="23" name="Adopt Rebate Start Date">
                <a:extLst>
                  <a:ext uri="{FF2B5EF4-FFF2-40B4-BE49-F238E27FC236}">
                    <a16:creationId xmlns:a16="http://schemas.microsoft.com/office/drawing/2014/main" id="{E7C8D9B7-6527-DA91-B4C1-D6B84AB14124}"/>
                  </a:ext>
                </a:extLst>
              </xdr:cNvPr>
              <xdr:cNvGraphicFramePr/>
            </xdr:nvGraphicFramePr>
            <xdr:xfrm>
              <a:off x="7998751" y="2178582"/>
              <a:ext cx="3367782" cy="1364502"/>
            </xdr:xfrm>
            <a:graphic>
              <a:graphicData uri="http://schemas.microsoft.com/office/drawing/2012/timeslicer">
                <tsle:timeslicer name="Adopt Rebate Start Date"/>
              </a:graphicData>
            </a:graphic>
          </xdr:graphicFrame>
        </mc:Choice>
        <mc:Fallback xmlns="">
          <xdr:sp macro="" textlink="">
            <xdr:nvSpPr>
              <xdr:cNvPr id="0" name=""/>
              <xdr:cNvSpPr>
                <a:spLocks noTextEdit="1"/>
              </xdr:cNvSpPr>
            </xdr:nvSpPr>
            <xdr:spPr>
              <a:xfrm>
                <a:off x="7998751" y="2178582"/>
                <a:ext cx="3367782" cy="1364502"/>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mc:AlternateContent xmlns:mc="http://schemas.openxmlformats.org/markup-compatibility/2006" xmlns:a14="http://schemas.microsoft.com/office/drawing/2010/main">
        <mc:Choice Requires="a14">
          <xdr:graphicFrame macro="">
            <xdr:nvGraphicFramePr>
              <xdr:cNvPr id="8" name="PVI Eligible">
                <a:extLst>
                  <a:ext uri="{FF2B5EF4-FFF2-40B4-BE49-F238E27FC236}">
                    <a16:creationId xmlns:a16="http://schemas.microsoft.com/office/drawing/2014/main" id="{A5505A75-13CF-8F22-89F3-FA9C9CE3EA07}"/>
                  </a:ext>
                </a:extLst>
              </xdr:cNvPr>
              <xdr:cNvGraphicFramePr/>
            </xdr:nvGraphicFramePr>
            <xdr:xfrm>
              <a:off x="13837933" y="0"/>
              <a:ext cx="1446860" cy="1061373"/>
            </xdr:xfrm>
            <a:graphic>
              <a:graphicData uri="http://schemas.microsoft.com/office/drawing/2010/slicer">
                <sle:slicer xmlns:sle="http://schemas.microsoft.com/office/drawing/2010/slicer" name="PVI Eligible"/>
              </a:graphicData>
            </a:graphic>
          </xdr:graphicFrame>
        </mc:Choice>
        <mc:Fallback xmlns="">
          <xdr:sp macro="" textlink="">
            <xdr:nvSpPr>
              <xdr:cNvPr id="0" name=""/>
              <xdr:cNvSpPr>
                <a:spLocks noTextEdit="1"/>
              </xdr:cNvSpPr>
            </xdr:nvSpPr>
            <xdr:spPr>
              <a:xfrm>
                <a:off x="13837933" y="0"/>
                <a:ext cx="1446860" cy="106137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9" name="PVI Onboard">
                <a:extLst>
                  <a:ext uri="{FF2B5EF4-FFF2-40B4-BE49-F238E27FC236}">
                    <a16:creationId xmlns:a16="http://schemas.microsoft.com/office/drawing/2014/main" id="{6B2B3186-CB57-97A8-12AC-F3FD06A4D8F2}"/>
                  </a:ext>
                </a:extLst>
              </xdr:cNvPr>
              <xdr:cNvGraphicFramePr/>
            </xdr:nvGraphicFramePr>
            <xdr:xfrm>
              <a:off x="13837771" y="1062974"/>
              <a:ext cx="1435073" cy="1073225"/>
            </xdr:xfrm>
            <a:graphic>
              <a:graphicData uri="http://schemas.microsoft.com/office/drawing/2010/slicer">
                <sle:slicer xmlns:sle="http://schemas.microsoft.com/office/drawing/2010/slicer" name="PVI Onboard"/>
              </a:graphicData>
            </a:graphic>
          </xdr:graphicFrame>
        </mc:Choice>
        <mc:Fallback xmlns="">
          <xdr:sp macro="" textlink="">
            <xdr:nvSpPr>
              <xdr:cNvPr id="0" name=""/>
              <xdr:cNvSpPr>
                <a:spLocks noTextEdit="1"/>
              </xdr:cNvSpPr>
            </xdr:nvSpPr>
            <xdr:spPr>
              <a:xfrm>
                <a:off x="13837771" y="1062974"/>
                <a:ext cx="1435073" cy="10732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5" name="PVI Adopt">
                <a:extLst>
                  <a:ext uri="{FF2B5EF4-FFF2-40B4-BE49-F238E27FC236}">
                    <a16:creationId xmlns:a16="http://schemas.microsoft.com/office/drawing/2014/main" id="{ED81DFF4-A5D2-06DC-98C0-67A7E9AD723C}"/>
                  </a:ext>
                </a:extLst>
              </xdr:cNvPr>
              <xdr:cNvGraphicFramePr/>
            </xdr:nvGraphicFramePr>
            <xdr:xfrm>
              <a:off x="13831829" y="2138852"/>
              <a:ext cx="1448673" cy="1053211"/>
            </xdr:xfrm>
            <a:graphic>
              <a:graphicData uri="http://schemas.microsoft.com/office/drawing/2010/slicer">
                <sle:slicer xmlns:sle="http://schemas.microsoft.com/office/drawing/2010/slicer" name="PVI Adopt"/>
              </a:graphicData>
            </a:graphic>
          </xdr:graphicFrame>
        </mc:Choice>
        <mc:Fallback xmlns="">
          <xdr:sp macro="" textlink="">
            <xdr:nvSpPr>
              <xdr:cNvPr id="0" name=""/>
              <xdr:cNvSpPr>
                <a:spLocks noTextEdit="1"/>
              </xdr:cNvSpPr>
            </xdr:nvSpPr>
            <xdr:spPr>
              <a:xfrm>
                <a:off x="13831829" y="2138852"/>
                <a:ext cx="1448673" cy="10532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6" name="New eligible">
                <a:extLst>
                  <a:ext uri="{FF2B5EF4-FFF2-40B4-BE49-F238E27FC236}">
                    <a16:creationId xmlns:a16="http://schemas.microsoft.com/office/drawing/2014/main" id="{5FE013A2-19FF-7ACD-A522-892EA98AD5E2}"/>
                  </a:ext>
                </a:extLst>
              </xdr:cNvPr>
              <xdr:cNvGraphicFramePr/>
            </xdr:nvGraphicFramePr>
            <xdr:xfrm>
              <a:off x="3047091" y="2186216"/>
              <a:ext cx="1582964" cy="942519"/>
            </xdr:xfrm>
            <a:graphic>
              <a:graphicData uri="http://schemas.microsoft.com/office/drawing/2010/slicer">
                <sle:slicer xmlns:sle="http://schemas.microsoft.com/office/drawing/2010/slicer" name="New eligible"/>
              </a:graphicData>
            </a:graphic>
          </xdr:graphicFrame>
        </mc:Choice>
        <mc:Fallback xmlns="">
          <xdr:sp macro="" textlink="">
            <xdr:nvSpPr>
              <xdr:cNvPr id="0" name=""/>
              <xdr:cNvSpPr>
                <a:spLocks noTextEdit="1"/>
              </xdr:cNvSpPr>
            </xdr:nvSpPr>
            <xdr:spPr>
              <a:xfrm>
                <a:off x="3047091" y="2186216"/>
                <a:ext cx="1582964" cy="9425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57893</xdr:colOff>
          <xdr:row>14</xdr:row>
          <xdr:rowOff>59293</xdr:rowOff>
        </xdr:from>
        <xdr:to>
          <xdr:col>1</xdr:col>
          <xdr:colOff>631208</xdr:colOff>
          <xdr:row>17</xdr:row>
          <xdr:rowOff>81148</xdr:rowOff>
        </xdr:to>
        <xdr:grpSp>
          <xdr:nvGrpSpPr>
            <xdr:cNvPr id="2" name="Group 1">
              <a:extLst>
                <a:ext uri="{FF2B5EF4-FFF2-40B4-BE49-F238E27FC236}">
                  <a16:creationId xmlns:a16="http://schemas.microsoft.com/office/drawing/2014/main" id="{05FCD7D6-64B0-CC29-8F47-14A791776925}"/>
                </a:ext>
              </a:extLst>
            </xdr:cNvPr>
            <xdr:cNvGrpSpPr/>
          </xdr:nvGrpSpPr>
          <xdr:grpSpPr>
            <a:xfrm>
              <a:off x="2057864" y="2591687"/>
              <a:ext cx="573315" cy="548137"/>
              <a:chOff x="2058143" y="2590636"/>
              <a:chExt cx="573315" cy="544264"/>
            </a:xfrm>
          </xdr:grpSpPr>
          <xdr:sp macro="" textlink="">
            <xdr:nvSpPr>
              <xdr:cNvPr id="10248" name="Spinner 8" hidden="1">
                <a:extLst>
                  <a:ext uri="{63B3BB69-23CF-44E3-9099-C40C66FF867C}">
                    <a14:compatExt spid="_x0000_s10248"/>
                  </a:ext>
                  <a:ext uri="{FF2B5EF4-FFF2-40B4-BE49-F238E27FC236}">
                    <a16:creationId xmlns:a16="http://schemas.microsoft.com/office/drawing/2014/main" id="{00000000-0008-0000-0400-000008280000}"/>
                  </a:ext>
                </a:extLst>
              </xdr:cNvPr>
              <xdr:cNvSpPr/>
            </xdr:nvSpPr>
            <xdr:spPr bwMode="auto">
              <a:xfrm>
                <a:off x="2058143" y="2902682"/>
                <a:ext cx="573315" cy="232218"/>
              </a:xfrm>
              <a:prstGeom prst="rect">
                <a:avLst/>
              </a:prstGeom>
              <a:noFill/>
              <a:ln w="9525">
                <a:miter lim="800000"/>
                <a:headEnd/>
                <a:tailEnd/>
              </a:ln>
            </xdr:spPr>
          </xdr:sp>
          <xdr:sp macro="" textlink="">
            <xdr:nvSpPr>
              <xdr:cNvPr id="10249" name="Spinner 9" hidden="1">
                <a:extLst>
                  <a:ext uri="{63B3BB69-23CF-44E3-9099-C40C66FF867C}">
                    <a14:compatExt spid="_x0000_s10249"/>
                  </a:ext>
                  <a:ext uri="{FF2B5EF4-FFF2-40B4-BE49-F238E27FC236}">
                    <a16:creationId xmlns:a16="http://schemas.microsoft.com/office/drawing/2014/main" id="{00000000-0008-0000-0400-000009280000}"/>
                  </a:ext>
                </a:extLst>
              </xdr:cNvPr>
              <xdr:cNvSpPr/>
            </xdr:nvSpPr>
            <xdr:spPr bwMode="auto">
              <a:xfrm>
                <a:off x="2058143" y="2590636"/>
                <a:ext cx="572408" cy="223159"/>
              </a:xfrm>
              <a:prstGeom prst="rect">
                <a:avLst/>
              </a:prstGeom>
              <a:noFill/>
              <a:ln w="9525">
                <a:miter lim="800000"/>
                <a:headEnd/>
                <a:tailEnd/>
              </a:ln>
            </xdr:spPr>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40739</xdr:colOff>
          <xdr:row>14</xdr:row>
          <xdr:rowOff>64725</xdr:rowOff>
        </xdr:from>
        <xdr:to>
          <xdr:col>3</xdr:col>
          <xdr:colOff>617957</xdr:colOff>
          <xdr:row>17</xdr:row>
          <xdr:rowOff>88408</xdr:rowOff>
        </xdr:to>
        <xdr:grpSp>
          <xdr:nvGrpSpPr>
            <xdr:cNvPr id="3" name="Group 2">
              <a:extLst>
                <a:ext uri="{FF2B5EF4-FFF2-40B4-BE49-F238E27FC236}">
                  <a16:creationId xmlns:a16="http://schemas.microsoft.com/office/drawing/2014/main" id="{1B286D55-5251-C68B-0330-A47069332124}"/>
                </a:ext>
              </a:extLst>
            </xdr:cNvPr>
            <xdr:cNvGrpSpPr/>
          </xdr:nvGrpSpPr>
          <xdr:grpSpPr>
            <a:xfrm>
              <a:off x="3811662" y="2598026"/>
              <a:ext cx="579032" cy="549965"/>
              <a:chOff x="2058093" y="2590617"/>
              <a:chExt cx="573315" cy="544211"/>
            </a:xfrm>
          </xdr:grpSpPr>
          <xdr:sp macro="" textlink="">
            <xdr:nvSpPr>
              <xdr:cNvPr id="10250" name="Spinner 10" hidden="1">
                <a:extLst>
                  <a:ext uri="{63B3BB69-23CF-44E3-9099-C40C66FF867C}">
                    <a14:compatExt spid="_x0000_s10250"/>
                  </a:ext>
                  <a:ext uri="{FF2B5EF4-FFF2-40B4-BE49-F238E27FC236}">
                    <a16:creationId xmlns:a16="http://schemas.microsoft.com/office/drawing/2014/main" id="{00000000-0008-0000-0400-00000A280000}"/>
                  </a:ext>
                </a:extLst>
              </xdr:cNvPr>
              <xdr:cNvSpPr/>
            </xdr:nvSpPr>
            <xdr:spPr bwMode="auto">
              <a:xfrm>
                <a:off x="2058093" y="2902621"/>
                <a:ext cx="573315" cy="232207"/>
              </a:xfrm>
              <a:prstGeom prst="rect">
                <a:avLst/>
              </a:prstGeom>
              <a:noFill/>
              <a:ln w="9525">
                <a:miter lim="800000"/>
                <a:headEnd/>
                <a:tailEnd/>
              </a:ln>
            </xdr:spPr>
          </xdr:sp>
          <xdr:sp macro="" textlink="">
            <xdr:nvSpPr>
              <xdr:cNvPr id="10251" name="Spinner 11" hidden="1">
                <a:extLst>
                  <a:ext uri="{63B3BB69-23CF-44E3-9099-C40C66FF867C}">
                    <a14:compatExt spid="_x0000_s10251"/>
                  </a:ext>
                  <a:ext uri="{FF2B5EF4-FFF2-40B4-BE49-F238E27FC236}">
                    <a16:creationId xmlns:a16="http://schemas.microsoft.com/office/drawing/2014/main" id="{00000000-0008-0000-0400-00000B280000}"/>
                  </a:ext>
                </a:extLst>
              </xdr:cNvPr>
              <xdr:cNvSpPr/>
            </xdr:nvSpPr>
            <xdr:spPr bwMode="auto">
              <a:xfrm>
                <a:off x="2058143" y="2590617"/>
                <a:ext cx="572408" cy="223162"/>
              </a:xfrm>
              <a:prstGeom prst="rect">
                <a:avLst/>
              </a:prstGeom>
              <a:noFill/>
              <a:ln w="9525">
                <a:miter lim="800000"/>
                <a:headEnd/>
                <a:tailEnd/>
              </a:ln>
            </xdr:spPr>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38018</xdr:colOff>
          <xdr:row>14</xdr:row>
          <xdr:rowOff>61098</xdr:rowOff>
        </xdr:from>
        <xdr:to>
          <xdr:col>5</xdr:col>
          <xdr:colOff>622387</xdr:colOff>
          <xdr:row>17</xdr:row>
          <xdr:rowOff>92942</xdr:rowOff>
        </xdr:to>
        <xdr:grpSp>
          <xdr:nvGrpSpPr>
            <xdr:cNvPr id="4" name="Group 3">
              <a:extLst>
                <a:ext uri="{FF2B5EF4-FFF2-40B4-BE49-F238E27FC236}">
                  <a16:creationId xmlns:a16="http://schemas.microsoft.com/office/drawing/2014/main" id="{05818991-D54E-B967-3CC8-BC7D3044E87B}"/>
                </a:ext>
              </a:extLst>
            </xdr:cNvPr>
            <xdr:cNvGrpSpPr/>
          </xdr:nvGrpSpPr>
          <xdr:grpSpPr>
            <a:xfrm>
              <a:off x="5435518" y="2593492"/>
              <a:ext cx="586183" cy="559940"/>
              <a:chOff x="2058139" y="2594167"/>
              <a:chExt cx="573315" cy="540726"/>
            </a:xfrm>
          </xdr:grpSpPr>
          <xdr:sp macro="" textlink="">
            <xdr:nvSpPr>
              <xdr:cNvPr id="10253" name="Spinner 13" hidden="1">
                <a:extLst>
                  <a:ext uri="{63B3BB69-23CF-44E3-9099-C40C66FF867C}">
                    <a14:compatExt spid="_x0000_s10253"/>
                  </a:ext>
                  <a:ext uri="{FF2B5EF4-FFF2-40B4-BE49-F238E27FC236}">
                    <a16:creationId xmlns:a16="http://schemas.microsoft.com/office/drawing/2014/main" id="{00000000-0008-0000-0400-00000D280000}"/>
                  </a:ext>
                </a:extLst>
              </xdr:cNvPr>
              <xdr:cNvSpPr/>
            </xdr:nvSpPr>
            <xdr:spPr bwMode="auto">
              <a:xfrm>
                <a:off x="2058139" y="2902657"/>
                <a:ext cx="573315" cy="232236"/>
              </a:xfrm>
              <a:prstGeom prst="rect">
                <a:avLst/>
              </a:prstGeom>
              <a:noFill/>
              <a:ln w="9525">
                <a:miter lim="800000"/>
                <a:headEnd/>
                <a:tailEnd/>
              </a:ln>
            </xdr:spPr>
          </xdr:sp>
          <xdr:sp macro="" textlink="">
            <xdr:nvSpPr>
              <xdr:cNvPr id="10254" name="Spinner 14" hidden="1">
                <a:extLst>
                  <a:ext uri="{63B3BB69-23CF-44E3-9099-C40C66FF867C}">
                    <a14:compatExt spid="_x0000_s10254"/>
                  </a:ext>
                  <a:ext uri="{FF2B5EF4-FFF2-40B4-BE49-F238E27FC236}">
                    <a16:creationId xmlns:a16="http://schemas.microsoft.com/office/drawing/2014/main" id="{00000000-0008-0000-0400-00000E280000}"/>
                  </a:ext>
                </a:extLst>
              </xdr:cNvPr>
              <xdr:cNvSpPr/>
            </xdr:nvSpPr>
            <xdr:spPr bwMode="auto">
              <a:xfrm>
                <a:off x="2059928" y="2594167"/>
                <a:ext cx="568946" cy="219531"/>
              </a:xfrm>
              <a:prstGeom prst="rect">
                <a:avLst/>
              </a:prstGeom>
              <a:noFill/>
              <a:ln w="9525">
                <a:miter lim="800000"/>
                <a:headEnd/>
                <a:tailEnd/>
              </a:ln>
            </xdr:spPr>
          </xdr:sp>
        </xdr:grp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0</xdr:col>
      <xdr:colOff>0</xdr:colOff>
      <xdr:row>2</xdr:row>
      <xdr:rowOff>95623</xdr:rowOff>
    </xdr:from>
    <xdr:to>
      <xdr:col>24</xdr:col>
      <xdr:colOff>587829</xdr:colOff>
      <xdr:row>85</xdr:row>
      <xdr:rowOff>132809</xdr:rowOff>
    </xdr:to>
    <xdr:grpSp>
      <xdr:nvGrpSpPr>
        <xdr:cNvPr id="26" name="Group 25">
          <a:extLst>
            <a:ext uri="{FF2B5EF4-FFF2-40B4-BE49-F238E27FC236}">
              <a16:creationId xmlns:a16="http://schemas.microsoft.com/office/drawing/2014/main" id="{8642DB7B-C2A1-47F1-360D-C963BEE19B0E}"/>
            </a:ext>
          </a:extLst>
        </xdr:cNvPr>
        <xdr:cNvGrpSpPr/>
      </xdr:nvGrpSpPr>
      <xdr:grpSpPr>
        <a:xfrm>
          <a:off x="0" y="466431"/>
          <a:ext cx="16368432" cy="15544099"/>
          <a:chOff x="0" y="917165"/>
          <a:chExt cx="16384732" cy="15379526"/>
        </a:xfrm>
      </xdr:grpSpPr>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966222AC-40D3-4FD9-A245-3555D2633712}"/>
                  </a:ext>
                </a:extLst>
              </xdr:cNvPr>
              <xdr:cNvGraphicFramePr>
                <a:graphicFrameLocks/>
              </xdr:cNvGraphicFramePr>
            </xdr:nvGraphicFramePr>
            <xdr:xfrm>
              <a:off x="1" y="969900"/>
              <a:ext cx="3878529" cy="2353709"/>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 y="969900"/>
                <a:ext cx="3878529" cy="235370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4583AF55-F8F9-4E2E-B573-4D9036E479FF}"/>
                  </a:ext>
                </a:extLst>
              </xdr:cNvPr>
              <xdr:cNvGraphicFramePr>
                <a:graphicFrameLocks/>
              </xdr:cNvGraphicFramePr>
            </xdr:nvGraphicFramePr>
            <xdr:xfrm>
              <a:off x="3878530" y="970097"/>
              <a:ext cx="3875395" cy="2353514"/>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3878530" y="970097"/>
                <a:ext cx="3875395" cy="2353514"/>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B4F1BE2E-FAC8-43BA-A51F-B674F2D7AEFB}"/>
                  </a:ext>
                </a:extLst>
              </xdr:cNvPr>
              <xdr:cNvGraphicFramePr>
                <a:graphicFrameLocks/>
              </xdr:cNvGraphicFramePr>
            </xdr:nvGraphicFramePr>
            <xdr:xfrm>
              <a:off x="7717121" y="970097"/>
              <a:ext cx="3909821" cy="2367132"/>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7717121" y="970097"/>
                <a:ext cx="3909821" cy="2367132"/>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mc:AlternateContent xmlns:mc="http://schemas.openxmlformats.org/markup-compatibility/2006">
        <mc:Choice xmlns:cx1="http://schemas.microsoft.com/office/drawing/2015/9/8/chartex" Requires="cx1">
          <xdr:graphicFrame macro="">
            <xdr:nvGraphicFramePr>
              <xdr:cNvPr id="12" name="Chart 11">
                <a:extLst>
                  <a:ext uri="{FF2B5EF4-FFF2-40B4-BE49-F238E27FC236}">
                    <a16:creationId xmlns:a16="http://schemas.microsoft.com/office/drawing/2014/main" id="{2CDA7362-FB6C-96FE-B6B9-F72F55DED859}"/>
                  </a:ext>
                </a:extLst>
              </xdr:cNvPr>
              <xdr:cNvGraphicFramePr>
                <a:graphicFrameLocks/>
              </xdr:cNvGraphicFramePr>
            </xdr:nvGraphicFramePr>
            <xdr:xfrm>
              <a:off x="12471696" y="970097"/>
              <a:ext cx="3876752" cy="2363304"/>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2471696" y="970097"/>
                <a:ext cx="3876752" cy="2363304"/>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2682FD5B-F06D-477C-8041-7D7DF8BA8C68}"/>
                  </a:ext>
                </a:extLst>
              </xdr:cNvPr>
              <xdr:cNvGraphicFramePr>
                <a:graphicFrameLocks/>
              </xdr:cNvGraphicFramePr>
            </xdr:nvGraphicFramePr>
            <xdr:xfrm>
              <a:off x="0" y="3521752"/>
              <a:ext cx="3883621" cy="2356324"/>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0" y="3521752"/>
                <a:ext cx="3883621" cy="2356324"/>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A6FECE19-7173-45C1-AA5E-A42553CBFF7A}"/>
                  </a:ext>
                </a:extLst>
              </xdr:cNvPr>
              <xdr:cNvGraphicFramePr>
                <a:graphicFrameLocks/>
              </xdr:cNvGraphicFramePr>
            </xdr:nvGraphicFramePr>
            <xdr:xfrm>
              <a:off x="3881406" y="3508386"/>
              <a:ext cx="3871337" cy="2369246"/>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3881406" y="3508386"/>
                <a:ext cx="3871337" cy="236924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A897DD44-4E50-4B81-B78A-E86A261B8CB9}"/>
                  </a:ext>
                </a:extLst>
              </xdr:cNvPr>
              <xdr:cNvGraphicFramePr>
                <a:graphicFrameLocks/>
              </xdr:cNvGraphicFramePr>
            </xdr:nvGraphicFramePr>
            <xdr:xfrm>
              <a:off x="7732881" y="3521661"/>
              <a:ext cx="3894010" cy="2369225"/>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7732881" y="3521661"/>
                <a:ext cx="3894010" cy="236922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mc:AlternateContent xmlns:mc="http://schemas.openxmlformats.org/markup-compatibility/2006">
        <mc:Choice xmlns:cx1="http://schemas.microsoft.com/office/drawing/2015/9/8/chartex" Requires="cx1">
          <xdr:graphicFrame macro="">
            <xdr:nvGraphicFramePr>
              <xdr:cNvPr id="13" name="Chart 12">
                <a:extLst>
                  <a:ext uri="{FF2B5EF4-FFF2-40B4-BE49-F238E27FC236}">
                    <a16:creationId xmlns:a16="http://schemas.microsoft.com/office/drawing/2014/main" id="{7E1CC482-BC7C-EDBA-781E-9F56F219C428}"/>
                  </a:ext>
                </a:extLst>
              </xdr:cNvPr>
              <xdr:cNvGraphicFramePr>
                <a:graphicFrameLocks/>
              </xdr:cNvGraphicFramePr>
            </xdr:nvGraphicFramePr>
            <xdr:xfrm>
              <a:off x="12454867" y="4842993"/>
              <a:ext cx="3851843" cy="2353741"/>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12454867" y="4842993"/>
                <a:ext cx="3851843" cy="2353741"/>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mc:AlternateContent xmlns:mc="http://schemas.openxmlformats.org/markup-compatibility/2006">
        <mc:Choice xmlns:cx1="http://schemas.microsoft.com/office/drawing/2015/9/8/chartex" Requires="cx1">
          <xdr:graphicFrame macro="">
            <xdr:nvGraphicFramePr>
              <xdr:cNvPr id="8" name="Chart 7">
                <a:extLst>
                  <a:ext uri="{FF2B5EF4-FFF2-40B4-BE49-F238E27FC236}">
                    <a16:creationId xmlns:a16="http://schemas.microsoft.com/office/drawing/2014/main" id="{89838686-CDED-4BF5-9666-17B3D3741BF0}"/>
                  </a:ext>
                </a:extLst>
              </xdr:cNvPr>
              <xdr:cNvGraphicFramePr>
                <a:graphicFrameLocks/>
              </xdr:cNvGraphicFramePr>
            </xdr:nvGraphicFramePr>
            <xdr:xfrm>
              <a:off x="0" y="8441822"/>
              <a:ext cx="3879704" cy="2371753"/>
            </xdr:xfrm>
            <a:graphic>
              <a:graphicData uri="http://schemas.microsoft.com/office/drawing/2014/chartex">
                <cx:chart xmlns:cx="http://schemas.microsoft.com/office/drawing/2014/chartex" xmlns:r="http://schemas.openxmlformats.org/officeDocument/2006/relationships" r:id="rId9"/>
              </a:graphicData>
            </a:graphic>
          </xdr:graphicFrame>
        </mc:Choice>
        <mc:Fallback>
          <xdr:sp macro="" textlink="">
            <xdr:nvSpPr>
              <xdr:cNvPr id="0" name=""/>
              <xdr:cNvSpPr>
                <a:spLocks noTextEdit="1"/>
              </xdr:cNvSpPr>
            </xdr:nvSpPr>
            <xdr:spPr>
              <a:xfrm>
                <a:off x="0" y="8441822"/>
                <a:ext cx="3879704" cy="237175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mc:AlternateContent xmlns:mc="http://schemas.openxmlformats.org/markup-compatibility/2006">
        <mc:Choice xmlns:cx1="http://schemas.microsoft.com/office/drawing/2015/9/8/chartex" Requires="cx1">
          <xdr:graphicFrame macro="">
            <xdr:nvGraphicFramePr>
              <xdr:cNvPr id="9" name="Chart 8">
                <a:extLst>
                  <a:ext uri="{FF2B5EF4-FFF2-40B4-BE49-F238E27FC236}">
                    <a16:creationId xmlns:a16="http://schemas.microsoft.com/office/drawing/2014/main" id="{A18D0071-ABA0-41B4-AFED-A1B5EDA2B4FF}"/>
                  </a:ext>
                </a:extLst>
              </xdr:cNvPr>
              <xdr:cNvGraphicFramePr>
                <a:graphicFrameLocks/>
              </xdr:cNvGraphicFramePr>
            </xdr:nvGraphicFramePr>
            <xdr:xfrm>
              <a:off x="3879275" y="8441822"/>
              <a:ext cx="3875734" cy="2362159"/>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3879275" y="8441822"/>
                <a:ext cx="3875734" cy="236215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mc:AlternateContent xmlns:mc="http://schemas.openxmlformats.org/markup-compatibility/2006">
        <mc:Choice xmlns:cx1="http://schemas.microsoft.com/office/drawing/2015/9/8/chartex" Requires="cx1">
          <xdr:graphicFrame macro="">
            <xdr:nvGraphicFramePr>
              <xdr:cNvPr id="14" name="Chart 13">
                <a:extLst>
                  <a:ext uri="{FF2B5EF4-FFF2-40B4-BE49-F238E27FC236}">
                    <a16:creationId xmlns:a16="http://schemas.microsoft.com/office/drawing/2014/main" id="{DACF6393-FA7F-8365-201D-5D2AC7C3AED6}"/>
                  </a:ext>
                </a:extLst>
              </xdr:cNvPr>
              <xdr:cNvGraphicFramePr>
                <a:graphicFrameLocks/>
              </xdr:cNvGraphicFramePr>
            </xdr:nvGraphicFramePr>
            <xdr:xfrm>
              <a:off x="12454938" y="8441822"/>
              <a:ext cx="3870249" cy="2372108"/>
            </xdr:xfrm>
            <a:graphic>
              <a:graphicData uri="http://schemas.microsoft.com/office/drawing/2014/chartex">
                <cx:chart xmlns:cx="http://schemas.microsoft.com/office/drawing/2014/chartex" xmlns:r="http://schemas.openxmlformats.org/officeDocument/2006/relationships" r:id="rId11"/>
              </a:graphicData>
            </a:graphic>
          </xdr:graphicFrame>
        </mc:Choice>
        <mc:Fallback>
          <xdr:sp macro="" textlink="">
            <xdr:nvSpPr>
              <xdr:cNvPr id="0" name=""/>
              <xdr:cNvSpPr>
                <a:spLocks noTextEdit="1"/>
              </xdr:cNvSpPr>
            </xdr:nvSpPr>
            <xdr:spPr>
              <a:xfrm>
                <a:off x="12454938" y="8441822"/>
                <a:ext cx="3870249" cy="237210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mc:AlternateContent xmlns:mc="http://schemas.openxmlformats.org/markup-compatibility/2006">
        <mc:Choice xmlns:cx1="http://schemas.microsoft.com/office/drawing/2015/9/8/chartex" Requires="cx1">
          <xdr:graphicFrame macro="">
            <xdr:nvGraphicFramePr>
              <xdr:cNvPr id="10" name="Chart 9">
                <a:extLst>
                  <a:ext uri="{FF2B5EF4-FFF2-40B4-BE49-F238E27FC236}">
                    <a16:creationId xmlns:a16="http://schemas.microsoft.com/office/drawing/2014/main" id="{F97549A2-BBC7-4548-B027-42C5825B128A}"/>
                  </a:ext>
                </a:extLst>
              </xdr:cNvPr>
              <xdr:cNvGraphicFramePr>
                <a:graphicFrameLocks/>
              </xdr:cNvGraphicFramePr>
            </xdr:nvGraphicFramePr>
            <xdr:xfrm>
              <a:off x="1" y="11021499"/>
              <a:ext cx="3881421" cy="2370319"/>
            </xdr:xfrm>
            <a:graphic>
              <a:graphicData uri="http://schemas.microsoft.com/office/drawing/2014/chartex">
                <cx:chart xmlns:cx="http://schemas.microsoft.com/office/drawing/2014/chartex" xmlns:r="http://schemas.openxmlformats.org/officeDocument/2006/relationships" r:id="rId12"/>
              </a:graphicData>
            </a:graphic>
          </xdr:graphicFrame>
        </mc:Choice>
        <mc:Fallback>
          <xdr:sp macro="" textlink="">
            <xdr:nvSpPr>
              <xdr:cNvPr id="0" name=""/>
              <xdr:cNvSpPr>
                <a:spLocks noTextEdit="1"/>
              </xdr:cNvSpPr>
            </xdr:nvSpPr>
            <xdr:spPr>
              <a:xfrm>
                <a:off x="1" y="11021499"/>
                <a:ext cx="3881421" cy="237031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mc:AlternateContent xmlns:mc="http://schemas.openxmlformats.org/markup-compatibility/2006">
        <mc:Choice xmlns:cx1="http://schemas.microsoft.com/office/drawing/2015/9/8/chartex" Requires="cx1">
          <xdr:graphicFrame macro="">
            <xdr:nvGraphicFramePr>
              <xdr:cNvPr id="11" name="Chart 10">
                <a:extLst>
                  <a:ext uri="{FF2B5EF4-FFF2-40B4-BE49-F238E27FC236}">
                    <a16:creationId xmlns:a16="http://schemas.microsoft.com/office/drawing/2014/main" id="{3C1F0DB5-7EB4-4D68-B38F-59CA07EAFE14}"/>
                  </a:ext>
                </a:extLst>
              </xdr:cNvPr>
              <xdr:cNvGraphicFramePr>
                <a:graphicFrameLocks/>
              </xdr:cNvGraphicFramePr>
            </xdr:nvGraphicFramePr>
            <xdr:xfrm>
              <a:off x="3881900" y="11021499"/>
              <a:ext cx="3873059" cy="2369798"/>
            </xdr:xfrm>
            <a:graphic>
              <a:graphicData uri="http://schemas.microsoft.com/office/drawing/2014/chartex">
                <cx:chart xmlns:cx="http://schemas.microsoft.com/office/drawing/2014/chartex" xmlns:r="http://schemas.openxmlformats.org/officeDocument/2006/relationships" r:id="rId13"/>
              </a:graphicData>
            </a:graphic>
          </xdr:graphicFrame>
        </mc:Choice>
        <mc:Fallback>
          <xdr:sp macro="" textlink="">
            <xdr:nvSpPr>
              <xdr:cNvPr id="0" name=""/>
              <xdr:cNvSpPr>
                <a:spLocks noTextEdit="1"/>
              </xdr:cNvSpPr>
            </xdr:nvSpPr>
            <xdr:spPr>
              <a:xfrm>
                <a:off x="3881900" y="11021499"/>
                <a:ext cx="3873059" cy="236979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mc:AlternateContent xmlns:mc="http://schemas.openxmlformats.org/markup-compatibility/2006">
        <mc:Choice xmlns:cx1="http://schemas.microsoft.com/office/drawing/2015/9/8/chartex" Requires="cx1">
          <xdr:graphicFrame macro="">
            <xdr:nvGraphicFramePr>
              <xdr:cNvPr id="15" name="Chart 14">
                <a:extLst>
                  <a:ext uri="{FF2B5EF4-FFF2-40B4-BE49-F238E27FC236}">
                    <a16:creationId xmlns:a16="http://schemas.microsoft.com/office/drawing/2014/main" id="{5DEC2291-A80C-BFC2-89BA-D2D4CEA8526B}"/>
                  </a:ext>
                </a:extLst>
              </xdr:cNvPr>
              <xdr:cNvGraphicFramePr>
                <a:graphicFrameLocks/>
              </xdr:cNvGraphicFramePr>
            </xdr:nvGraphicFramePr>
            <xdr:xfrm>
              <a:off x="12474975" y="11028605"/>
              <a:ext cx="3850977" cy="2361525"/>
            </xdr:xfrm>
            <a:graphic>
              <a:graphicData uri="http://schemas.microsoft.com/office/drawing/2014/chartex">
                <cx:chart xmlns:cx="http://schemas.microsoft.com/office/drawing/2014/chartex" xmlns:r="http://schemas.openxmlformats.org/officeDocument/2006/relationships" r:id="rId14"/>
              </a:graphicData>
            </a:graphic>
          </xdr:graphicFrame>
        </mc:Choice>
        <mc:Fallback>
          <xdr:sp macro="" textlink="">
            <xdr:nvSpPr>
              <xdr:cNvPr id="0" name=""/>
              <xdr:cNvSpPr>
                <a:spLocks noTextEdit="1"/>
              </xdr:cNvSpPr>
            </xdr:nvSpPr>
            <xdr:spPr>
              <a:xfrm>
                <a:off x="12474975" y="11028605"/>
                <a:ext cx="3850977" cy="236152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graphicFrame macro="">
        <xdr:nvGraphicFramePr>
          <xdr:cNvPr id="20" name="Chart 19">
            <a:extLst>
              <a:ext uri="{FF2B5EF4-FFF2-40B4-BE49-F238E27FC236}">
                <a16:creationId xmlns:a16="http://schemas.microsoft.com/office/drawing/2014/main" id="{BCAAF346-AF8D-4F79-853D-49ABA03A4BBB}"/>
              </a:ext>
            </a:extLst>
          </xdr:cNvPr>
          <xdr:cNvGraphicFramePr>
            <a:graphicFrameLocks/>
          </xdr:cNvGraphicFramePr>
        </xdr:nvGraphicFramePr>
        <xdr:xfrm>
          <a:off x="0" y="13549227"/>
          <a:ext cx="16326258" cy="2747464"/>
        </xdr:xfrm>
        <a:graphic>
          <a:graphicData uri="http://schemas.openxmlformats.org/drawingml/2006/chart">
            <c:chart xmlns:c="http://schemas.openxmlformats.org/drawingml/2006/chart" xmlns:r="http://schemas.openxmlformats.org/officeDocument/2006/relationships" r:id="rId15"/>
          </a:graphicData>
        </a:graphic>
      </xdr:graphicFrame>
      <mc:AlternateContent xmlns:mc="http://schemas.openxmlformats.org/markup-compatibility/2006">
        <mc:Choice xmlns:cx1="http://schemas.microsoft.com/office/drawing/2015/9/8/chartex" Requires="cx1">
          <xdr:graphicFrame macro="">
            <xdr:nvGraphicFramePr>
              <xdr:cNvPr id="18" name="Chart 17">
                <a:extLst>
                  <a:ext uri="{FF2B5EF4-FFF2-40B4-BE49-F238E27FC236}">
                    <a16:creationId xmlns:a16="http://schemas.microsoft.com/office/drawing/2014/main" id="{8C6B29D1-1AA2-428B-9368-912527ED5C0D}"/>
                  </a:ext>
                </a:extLst>
              </xdr:cNvPr>
              <xdr:cNvGraphicFramePr>
                <a:graphicFrameLocks/>
              </xdr:cNvGraphicFramePr>
            </xdr:nvGraphicFramePr>
            <xdr:xfrm>
              <a:off x="17005" y="5886392"/>
              <a:ext cx="3866390" cy="2363453"/>
            </xdr:xfrm>
            <a:graphic>
              <a:graphicData uri="http://schemas.microsoft.com/office/drawing/2014/chartex">
                <cx:chart xmlns:cx="http://schemas.microsoft.com/office/drawing/2014/chartex" xmlns:r="http://schemas.openxmlformats.org/officeDocument/2006/relationships" r:id="rId16"/>
              </a:graphicData>
            </a:graphic>
          </xdr:graphicFrame>
        </mc:Choice>
        <mc:Fallback>
          <xdr:sp macro="" textlink="">
            <xdr:nvSpPr>
              <xdr:cNvPr id="0" name=""/>
              <xdr:cNvSpPr>
                <a:spLocks noTextEdit="1"/>
              </xdr:cNvSpPr>
            </xdr:nvSpPr>
            <xdr:spPr>
              <a:xfrm>
                <a:off x="17005" y="5886392"/>
                <a:ext cx="3866390" cy="236345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mc:AlternateContent xmlns:mc="http://schemas.openxmlformats.org/markup-compatibility/2006">
        <mc:Choice xmlns:cx1="http://schemas.microsoft.com/office/drawing/2015/9/8/chartex" Requires="cx1">
          <xdr:graphicFrame macro="">
            <xdr:nvGraphicFramePr>
              <xdr:cNvPr id="16" name="Chart 15">
                <a:extLst>
                  <a:ext uri="{FF2B5EF4-FFF2-40B4-BE49-F238E27FC236}">
                    <a16:creationId xmlns:a16="http://schemas.microsoft.com/office/drawing/2014/main" id="{BA58B630-9DA5-F071-2823-46F0521DE43D}"/>
                  </a:ext>
                </a:extLst>
              </xdr:cNvPr>
              <xdr:cNvGraphicFramePr>
                <a:graphicFrameLocks/>
              </xdr:cNvGraphicFramePr>
            </xdr:nvGraphicFramePr>
            <xdr:xfrm>
              <a:off x="3881253" y="5890927"/>
              <a:ext cx="3871337" cy="2366174"/>
            </xdr:xfrm>
            <a:graphic>
              <a:graphicData uri="http://schemas.microsoft.com/office/drawing/2014/chartex">
                <cx:chart xmlns:cx="http://schemas.microsoft.com/office/drawing/2014/chartex" xmlns:r="http://schemas.openxmlformats.org/officeDocument/2006/relationships" r:id="rId17"/>
              </a:graphicData>
            </a:graphic>
          </xdr:graphicFrame>
        </mc:Choice>
        <mc:Fallback>
          <xdr:sp macro="" textlink="">
            <xdr:nvSpPr>
              <xdr:cNvPr id="0" name=""/>
              <xdr:cNvSpPr>
                <a:spLocks noTextEdit="1"/>
              </xdr:cNvSpPr>
            </xdr:nvSpPr>
            <xdr:spPr>
              <a:xfrm>
                <a:off x="3881253" y="5890927"/>
                <a:ext cx="3871337" cy="2366174"/>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xnSp macro="">
        <xdr:nvCxnSpPr>
          <xdr:cNvPr id="21" name="Straight Connector 20">
            <a:extLst>
              <a:ext uri="{FF2B5EF4-FFF2-40B4-BE49-F238E27FC236}">
                <a16:creationId xmlns:a16="http://schemas.microsoft.com/office/drawing/2014/main" id="{470CE659-879B-9655-BB7B-45EC1ED480EC}"/>
              </a:ext>
            </a:extLst>
          </xdr:cNvPr>
          <xdr:cNvCxnSpPr/>
        </xdr:nvCxnSpPr>
        <xdr:spPr>
          <a:xfrm>
            <a:off x="17235" y="3425786"/>
            <a:ext cx="16367497" cy="0"/>
          </a:xfrm>
          <a:prstGeom prst="line">
            <a:avLst/>
          </a:prstGeom>
          <a:ln w="76200">
            <a:solidFill>
              <a:sysClr val="windowText" lastClr="000000"/>
            </a:solidFill>
          </a:ln>
        </xdr:spPr>
        <xdr:style>
          <a:lnRef idx="2">
            <a:schemeClr val="accent1"/>
          </a:lnRef>
          <a:fillRef idx="0">
            <a:schemeClr val="accent1"/>
          </a:fillRef>
          <a:effectRef idx="1">
            <a:schemeClr val="accent1"/>
          </a:effectRef>
          <a:fontRef idx="minor">
            <a:schemeClr val="tx1"/>
          </a:fontRef>
        </xdr:style>
      </xdr:cxnSp>
      <xdr:cxnSp macro="">
        <xdr:nvCxnSpPr>
          <xdr:cNvPr id="22" name="Straight Connector 21">
            <a:extLst>
              <a:ext uri="{FF2B5EF4-FFF2-40B4-BE49-F238E27FC236}">
                <a16:creationId xmlns:a16="http://schemas.microsoft.com/office/drawing/2014/main" id="{6B330D29-9DCE-173A-F0DD-FB1F2FAA7D05}"/>
              </a:ext>
            </a:extLst>
          </xdr:cNvPr>
          <xdr:cNvCxnSpPr/>
        </xdr:nvCxnSpPr>
        <xdr:spPr>
          <a:xfrm>
            <a:off x="19956" y="8327243"/>
            <a:ext cx="16362055" cy="0"/>
          </a:xfrm>
          <a:prstGeom prst="line">
            <a:avLst/>
          </a:prstGeom>
          <a:ln w="76200">
            <a:solidFill>
              <a:sysClr val="windowText" lastClr="000000"/>
            </a:solidFill>
          </a:ln>
        </xdr:spPr>
        <xdr:style>
          <a:lnRef idx="2">
            <a:schemeClr val="accent1"/>
          </a:lnRef>
          <a:fillRef idx="0">
            <a:schemeClr val="accent1"/>
          </a:fillRef>
          <a:effectRef idx="1">
            <a:schemeClr val="accent1"/>
          </a:effectRef>
          <a:fontRef idx="minor">
            <a:schemeClr val="tx1"/>
          </a:fontRef>
        </xdr:style>
      </xdr:cxnSp>
      <xdr:cxnSp macro="">
        <xdr:nvCxnSpPr>
          <xdr:cNvPr id="23" name="Straight Connector 22">
            <a:extLst>
              <a:ext uri="{FF2B5EF4-FFF2-40B4-BE49-F238E27FC236}">
                <a16:creationId xmlns:a16="http://schemas.microsoft.com/office/drawing/2014/main" id="{880E6559-52BA-859D-0599-BB5853DD052C}"/>
              </a:ext>
            </a:extLst>
          </xdr:cNvPr>
          <xdr:cNvCxnSpPr/>
        </xdr:nvCxnSpPr>
        <xdr:spPr>
          <a:xfrm>
            <a:off x="17235" y="10913425"/>
            <a:ext cx="16367497" cy="0"/>
          </a:xfrm>
          <a:prstGeom prst="line">
            <a:avLst/>
          </a:prstGeom>
          <a:ln w="76200">
            <a:solidFill>
              <a:sysClr val="windowText" lastClr="000000"/>
            </a:solidFill>
          </a:ln>
        </xdr:spPr>
        <xdr:style>
          <a:lnRef idx="2">
            <a:schemeClr val="accent1"/>
          </a:lnRef>
          <a:fillRef idx="0">
            <a:schemeClr val="accent1"/>
          </a:fillRef>
          <a:effectRef idx="1">
            <a:schemeClr val="accent1"/>
          </a:effectRef>
          <a:fontRef idx="minor">
            <a:schemeClr val="tx1"/>
          </a:fontRef>
        </xdr:style>
      </xdr:cxnSp>
      <xdr:cxnSp macro="">
        <xdr:nvCxnSpPr>
          <xdr:cNvPr id="24" name="Straight Connector 23">
            <a:extLst>
              <a:ext uri="{FF2B5EF4-FFF2-40B4-BE49-F238E27FC236}">
                <a16:creationId xmlns:a16="http://schemas.microsoft.com/office/drawing/2014/main" id="{2910A8F9-DCF2-51A2-2AF3-4E65821CB1B5}"/>
              </a:ext>
            </a:extLst>
          </xdr:cNvPr>
          <xdr:cNvCxnSpPr/>
        </xdr:nvCxnSpPr>
        <xdr:spPr>
          <a:xfrm>
            <a:off x="19956" y="13468185"/>
            <a:ext cx="16362055" cy="0"/>
          </a:xfrm>
          <a:prstGeom prst="line">
            <a:avLst/>
          </a:prstGeom>
          <a:ln w="76200">
            <a:solidFill>
              <a:sysClr val="windowText" lastClr="000000"/>
            </a:solidFill>
          </a:ln>
        </xdr:spPr>
        <xdr:style>
          <a:lnRef idx="2">
            <a:schemeClr val="accent1"/>
          </a:lnRef>
          <a:fillRef idx="0">
            <a:schemeClr val="accent1"/>
          </a:fillRef>
          <a:effectRef idx="1">
            <a:schemeClr val="accent1"/>
          </a:effectRef>
          <a:fontRef idx="minor">
            <a:schemeClr val="tx1"/>
          </a:fontRef>
        </xdr:style>
      </xdr:cxnSp>
      <xdr:cxnSp macro="">
        <xdr:nvCxnSpPr>
          <xdr:cNvPr id="25" name="Straight Connector 24">
            <a:extLst>
              <a:ext uri="{FF2B5EF4-FFF2-40B4-BE49-F238E27FC236}">
                <a16:creationId xmlns:a16="http://schemas.microsoft.com/office/drawing/2014/main" id="{13A9925E-4800-2FF3-3DBF-4298DCB18E6B}"/>
              </a:ext>
            </a:extLst>
          </xdr:cNvPr>
          <xdr:cNvCxnSpPr/>
        </xdr:nvCxnSpPr>
        <xdr:spPr>
          <a:xfrm>
            <a:off x="19956" y="917165"/>
            <a:ext cx="16362055" cy="0"/>
          </a:xfrm>
          <a:prstGeom prst="line">
            <a:avLst/>
          </a:prstGeom>
          <a:ln w="76200">
            <a:solidFill>
              <a:sysClr val="windowText" lastClr="000000"/>
            </a:solidFill>
          </a:ln>
        </xdr:spPr>
        <xdr:style>
          <a:lnRef idx="2">
            <a:schemeClr val="accent1"/>
          </a:lnRef>
          <a:fillRef idx="0">
            <a:schemeClr val="accent1"/>
          </a:fillRef>
          <a:effectRef idx="1">
            <a:schemeClr val="accent1"/>
          </a:effectRef>
          <a:fontRef idx="minor">
            <a:schemeClr val="tx1"/>
          </a:fontRef>
        </xdr:style>
      </xdr:cxnSp>
    </xdr:grp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97919</xdr:colOff>
      <xdr:row>5</xdr:row>
      <xdr:rowOff>94183</xdr:rowOff>
    </xdr:from>
    <xdr:to>
      <xdr:col>12</xdr:col>
      <xdr:colOff>513467</xdr:colOff>
      <xdr:row>29</xdr:row>
      <xdr:rowOff>170226</xdr:rowOff>
    </xdr:to>
    <xdr:grpSp>
      <xdr:nvGrpSpPr>
        <xdr:cNvPr id="22" name="Group 21">
          <a:extLst>
            <a:ext uri="{FF2B5EF4-FFF2-40B4-BE49-F238E27FC236}">
              <a16:creationId xmlns:a16="http://schemas.microsoft.com/office/drawing/2014/main" id="{E7F3A89A-71F8-2ADB-7611-38DA0109B591}"/>
            </a:ext>
          </a:extLst>
        </xdr:cNvPr>
        <xdr:cNvGrpSpPr/>
      </xdr:nvGrpSpPr>
      <xdr:grpSpPr>
        <a:xfrm>
          <a:off x="95198" y="1030728"/>
          <a:ext cx="13882990" cy="4707807"/>
          <a:chOff x="102454" y="1018135"/>
          <a:chExt cx="13869681" cy="4700068"/>
        </a:xfrm>
      </xdr:grpSpPr>
      <xdr:grpSp>
        <xdr:nvGrpSpPr>
          <xdr:cNvPr id="19" name="Group 18">
            <a:extLst>
              <a:ext uri="{FF2B5EF4-FFF2-40B4-BE49-F238E27FC236}">
                <a16:creationId xmlns:a16="http://schemas.microsoft.com/office/drawing/2014/main" id="{E70BF021-71D8-6FB2-99DF-DBD0DA8E2BFA}"/>
              </a:ext>
            </a:extLst>
          </xdr:cNvPr>
          <xdr:cNvGrpSpPr>
            <a:grpSpLocks noChangeAspect="1"/>
          </xdr:cNvGrpSpPr>
        </xdr:nvGrpSpPr>
        <xdr:grpSpPr>
          <a:xfrm>
            <a:off x="268945" y="1711001"/>
            <a:ext cx="13581849" cy="3280513"/>
            <a:chOff x="0" y="1160312"/>
            <a:chExt cx="13581849" cy="3280512"/>
          </a:xfrm>
        </xdr:grpSpPr>
        <xdr:grpSp>
          <xdr:nvGrpSpPr>
            <xdr:cNvPr id="3" name="Group 2">
              <a:extLst>
                <a:ext uri="{FF2B5EF4-FFF2-40B4-BE49-F238E27FC236}">
                  <a16:creationId xmlns:a16="http://schemas.microsoft.com/office/drawing/2014/main" id="{BEEC2BC8-8BD0-AD53-D313-05453D66EEA9}"/>
                </a:ext>
              </a:extLst>
            </xdr:cNvPr>
            <xdr:cNvGrpSpPr/>
          </xdr:nvGrpSpPr>
          <xdr:grpSpPr>
            <a:xfrm>
              <a:off x="0" y="1162252"/>
              <a:ext cx="6590046" cy="3278572"/>
              <a:chOff x="0" y="497114"/>
              <a:chExt cx="6485070" cy="3243628"/>
            </a:xfrm>
          </xdr:grpSpPr>
          <xdr:graphicFrame macro="">
            <xdr:nvGraphicFramePr>
              <xdr:cNvPr id="16" name="Chart 15">
                <a:extLst>
                  <a:ext uri="{FF2B5EF4-FFF2-40B4-BE49-F238E27FC236}">
                    <a16:creationId xmlns:a16="http://schemas.microsoft.com/office/drawing/2014/main" id="{E0018478-ACF1-C618-E534-04326880F609}"/>
                  </a:ext>
                </a:extLst>
              </xdr:cNvPr>
              <xdr:cNvGraphicFramePr>
                <a:graphicFrameLocks/>
              </xdr:cNvGraphicFramePr>
            </xdr:nvGraphicFramePr>
            <xdr:xfrm>
              <a:off x="0" y="498021"/>
              <a:ext cx="3239093" cy="3242721"/>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17" name="Chart 16">
                <a:extLst>
                  <a:ext uri="{FF2B5EF4-FFF2-40B4-BE49-F238E27FC236}">
                    <a16:creationId xmlns:a16="http://schemas.microsoft.com/office/drawing/2014/main" id="{E61348AD-F220-7584-44E1-45E3B7DC5E5C}"/>
                  </a:ext>
                </a:extLst>
              </xdr:cNvPr>
              <xdr:cNvGraphicFramePr>
                <a:graphicFrameLocks/>
              </xdr:cNvGraphicFramePr>
            </xdr:nvGraphicFramePr>
            <xdr:xfrm>
              <a:off x="3238721" y="497114"/>
              <a:ext cx="3246349" cy="3242721"/>
            </xdr:xfrm>
            <a:graphic>
              <a:graphicData uri="http://schemas.openxmlformats.org/drawingml/2006/chart">
                <c:chart xmlns:c="http://schemas.openxmlformats.org/drawingml/2006/chart" xmlns:r="http://schemas.openxmlformats.org/officeDocument/2006/relationships" r:id="rId2"/>
              </a:graphicData>
            </a:graphic>
          </xdr:graphicFrame>
        </xdr:grpSp>
        <xdr:graphicFrame macro="">
          <xdr:nvGraphicFramePr>
            <xdr:cNvPr id="13" name="Chart 12">
              <a:extLst>
                <a:ext uri="{FF2B5EF4-FFF2-40B4-BE49-F238E27FC236}">
                  <a16:creationId xmlns:a16="http://schemas.microsoft.com/office/drawing/2014/main" id="{C1FDF4D0-5CD4-6699-118D-CA37A7B840F7}"/>
                </a:ext>
              </a:extLst>
            </xdr:cNvPr>
            <xdr:cNvGraphicFramePr>
              <a:graphicFrameLocks/>
            </xdr:cNvGraphicFramePr>
          </xdr:nvGraphicFramePr>
          <xdr:xfrm>
            <a:off x="6996412" y="1161229"/>
            <a:ext cx="3289223" cy="327684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Chart 13">
              <a:extLst>
                <a:ext uri="{FF2B5EF4-FFF2-40B4-BE49-F238E27FC236}">
                  <a16:creationId xmlns:a16="http://schemas.microsoft.com/office/drawing/2014/main" id="{B3B8791F-0A61-1CB3-4D34-C551FA5402BD}"/>
                </a:ext>
              </a:extLst>
            </xdr:cNvPr>
            <xdr:cNvGraphicFramePr>
              <a:graphicFrameLocks/>
            </xdr:cNvGraphicFramePr>
          </xdr:nvGraphicFramePr>
          <xdr:xfrm>
            <a:off x="10285257" y="1160312"/>
            <a:ext cx="3296592" cy="3276846"/>
          </xdr:xfrm>
          <a:graphic>
            <a:graphicData uri="http://schemas.openxmlformats.org/drawingml/2006/chart">
              <c:chart xmlns:c="http://schemas.openxmlformats.org/drawingml/2006/chart" xmlns:r="http://schemas.openxmlformats.org/officeDocument/2006/relationships" r:id="rId4"/>
            </a:graphicData>
          </a:graphic>
        </xdr:graphicFrame>
      </xdr:grpSp>
      <xdr:sp macro="" textlink="">
        <xdr:nvSpPr>
          <xdr:cNvPr id="20" name="Rectangle 19">
            <a:extLst>
              <a:ext uri="{FF2B5EF4-FFF2-40B4-BE49-F238E27FC236}">
                <a16:creationId xmlns:a16="http://schemas.microsoft.com/office/drawing/2014/main" id="{D425AE7E-E107-D2DE-C310-39ACD4312FE5}"/>
              </a:ext>
            </a:extLst>
          </xdr:cNvPr>
          <xdr:cNvSpPr/>
        </xdr:nvSpPr>
        <xdr:spPr>
          <a:xfrm>
            <a:off x="102454" y="1018135"/>
            <a:ext cx="6890017" cy="4700068"/>
          </a:xfrm>
          <a:prstGeom prst="rect">
            <a:avLst/>
          </a:prstGeom>
          <a:noFill/>
          <a:ln w="381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Rectangle 20">
            <a:extLst>
              <a:ext uri="{FF2B5EF4-FFF2-40B4-BE49-F238E27FC236}">
                <a16:creationId xmlns:a16="http://schemas.microsoft.com/office/drawing/2014/main" id="{158456F5-C7B4-2C6A-2D7F-76A928706617}"/>
              </a:ext>
            </a:extLst>
          </xdr:cNvPr>
          <xdr:cNvSpPr/>
        </xdr:nvSpPr>
        <xdr:spPr>
          <a:xfrm>
            <a:off x="7082118" y="1018135"/>
            <a:ext cx="6890017" cy="4700068"/>
          </a:xfrm>
          <a:prstGeom prst="rect">
            <a:avLst/>
          </a:prstGeom>
          <a:noFill/>
          <a:ln w="381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12</xdr:col>
      <xdr:colOff>597806</xdr:colOff>
      <xdr:row>5</xdr:row>
      <xdr:rowOff>96157</xdr:rowOff>
    </xdr:from>
    <xdr:to>
      <xdr:col>23</xdr:col>
      <xdr:colOff>482600</xdr:colOff>
      <xdr:row>52</xdr:row>
      <xdr:rowOff>130629</xdr:rowOff>
    </xdr:to>
    <xdr:graphicFrame macro="">
      <xdr:nvGraphicFramePr>
        <xdr:cNvPr id="4" name="Chart 3">
          <a:extLst>
            <a:ext uri="{FF2B5EF4-FFF2-40B4-BE49-F238E27FC236}">
              <a16:creationId xmlns:a16="http://schemas.microsoft.com/office/drawing/2014/main" id="{32D956D1-289E-469A-A37C-03BBB8250E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457071</xdr:colOff>
      <xdr:row>31</xdr:row>
      <xdr:rowOff>172644</xdr:rowOff>
    </xdr:from>
    <xdr:to>
      <xdr:col>12</xdr:col>
      <xdr:colOff>539750</xdr:colOff>
      <xdr:row>52</xdr:row>
      <xdr:rowOff>130629</xdr:rowOff>
    </xdr:to>
    <xdr:graphicFrame macro="">
      <xdr:nvGraphicFramePr>
        <xdr:cNvPr id="5" name="Chart 4">
          <a:extLst>
            <a:ext uri="{FF2B5EF4-FFF2-40B4-BE49-F238E27FC236}">
              <a16:creationId xmlns:a16="http://schemas.microsoft.com/office/drawing/2014/main" id="{89F40828-CE51-4EC7-A042-E609A246E2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93436</xdr:colOff>
      <xdr:row>31</xdr:row>
      <xdr:rowOff>173263</xdr:rowOff>
    </xdr:from>
    <xdr:to>
      <xdr:col>5</xdr:col>
      <xdr:colOff>391884</xdr:colOff>
      <xdr:row>52</xdr:row>
      <xdr:rowOff>147053</xdr:rowOff>
    </xdr:to>
    <xdr:graphicFrame macro="">
      <xdr:nvGraphicFramePr>
        <xdr:cNvPr id="6" name="Chart 5">
          <a:extLst>
            <a:ext uri="{FF2B5EF4-FFF2-40B4-BE49-F238E27FC236}">
              <a16:creationId xmlns:a16="http://schemas.microsoft.com/office/drawing/2014/main" id="{45B38081-F7BD-467D-9CA4-D082153156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22</xdr:col>
          <xdr:colOff>435429</xdr:colOff>
          <xdr:row>5</xdr:row>
          <xdr:rowOff>190500</xdr:rowOff>
        </xdr:from>
        <xdr:to>
          <xdr:col>23</xdr:col>
          <xdr:colOff>283029</xdr:colOff>
          <xdr:row>7</xdr:row>
          <xdr:rowOff>125186</xdr:rowOff>
        </xdr:to>
        <xdr:sp macro="" textlink="">
          <xdr:nvSpPr>
            <xdr:cNvPr id="25601" name="LogScale" hidden="1">
              <a:extLst>
                <a:ext uri="{63B3BB69-23CF-44E3-9099-C40C66FF867C}">
                  <a14:compatExt spid="_x0000_s25601"/>
                </a:ext>
                <a:ext uri="{FF2B5EF4-FFF2-40B4-BE49-F238E27FC236}">
                  <a16:creationId xmlns:a16="http://schemas.microsoft.com/office/drawing/2014/main" id="{00000000-0008-0000-0600-0000016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Aptos Narrow"/>
                </a:rPr>
                <a:t>Log Scale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c Khayat (makhayat)" refreshedDate="46167.555480671297" missingItemsLimit="0" createdVersion="8" refreshedVersion="8" minRefreshableVersion="3" recordCount="1" xr:uid="{F1FDCC03-9280-41D8-A2B3-FC54F2E8A0ED}">
  <cacheSource type="worksheet">
    <worksheetSource ref="A1:BL2" sheet="Data"/>
  </cacheSource>
  <cacheFields count="64">
    <cacheField name="Deal WS-ID" numFmtId="0">
      <sharedItems containsNonDate="0" containsString="0" containsBlank="1" count="1">
        <m/>
      </sharedItems>
    </cacheField>
    <cacheField name="BE GEO ID" numFmtId="0">
      <sharedItems containsNonDate="0" containsString="0" containsBlank="1"/>
    </cacheField>
    <cacheField name="CR Party Name" numFmtId="0">
      <sharedItems containsNonDate="0" containsString="0" containsBlank="1" count="1">
        <m/>
      </sharedItems>
    </cacheField>
    <cacheField name="CR Party ID" numFmtId="0">
      <sharedItems containsNonDate="0" containsString="0" containsBlank="1" count="1">
        <m/>
      </sharedItems>
    </cacheField>
    <cacheField name="Track" numFmtId="0">
      <sharedItems containsNonDate="0" containsString="0" containsBlank="1" count="1">
        <m/>
      </sharedItems>
    </cacheField>
    <cacheField name="Sub-Track" numFmtId="0">
      <sharedItems containsNonDate="0" containsString="0" containsBlank="1" count="1">
        <m/>
      </sharedItems>
    </cacheField>
    <cacheField name="Incentive Level" numFmtId="0">
      <sharedItems containsNonDate="0" containsString="0" containsBlank="1" count="1">
        <m/>
      </sharedItems>
    </cacheField>
    <cacheField name="Deal Incentive Expiry Date" numFmtId="14">
      <sharedItems containsNonDate="0" containsString="0" containsBlank="1" count="1">
        <m/>
      </sharedItems>
    </cacheField>
    <cacheField name="Booking Date" numFmtId="14">
      <sharedItems containsSemiMixedTypes="0" containsNonDate="0" containsDate="1" containsString="0" minDate="1899-12-31T00:00:00" maxDate="1900-01-01T00:00:00" count="1">
        <d v="1899-12-31T00:00:00"/>
      </sharedItems>
    </cacheField>
    <cacheField name="Booking Amount - Net to Cisco" numFmtId="0">
      <sharedItems containsNonDate="0" containsString="0" containsBlank="1"/>
    </cacheField>
    <cacheField name="Stage" numFmtId="0">
      <sharedItems containsNonDate="0" containsString="0" containsBlank="1" count="1">
        <m/>
      </sharedItems>
    </cacheField>
    <cacheField name="Adopt Rebate Opt-In Status" numFmtId="0">
      <sharedItems containsNonDate="0" containsString="0" containsBlank="1" count="1">
        <m/>
      </sharedItems>
    </cacheField>
    <cacheField name="Adopt Rebate Start Date" numFmtId="14">
      <sharedItems containsSemiMixedTypes="0" containsNonDate="0" containsDate="1" containsString="0" minDate="1899-12-31T00:00:00" maxDate="1900-01-01T00:00:00" count="1">
        <d v="1899-12-31T00:00:00"/>
      </sharedItems>
    </cacheField>
    <cacheField name="Stage Completion Flag (Purchase)" numFmtId="0">
      <sharedItems/>
    </cacheField>
    <cacheField name="Stage Completion Date (Purchase)" numFmtId="14">
      <sharedItems containsNonDate="0" containsString="0" containsBlank="1"/>
    </cacheField>
    <cacheField name="Stage Completion Flag(onboard)" numFmtId="0">
      <sharedItems/>
    </cacheField>
    <cacheField name="Stage Completion Date(onboard)" numFmtId="14">
      <sharedItems containsNonDate="0" containsString="0" containsBlank="1"/>
    </cacheField>
    <cacheField name="Stage Completion Flag (Implement)" numFmtId="0">
      <sharedItems/>
    </cacheField>
    <cacheField name="Stage Completion Date (Implement)" numFmtId="14">
      <sharedItems containsNonDate="0" containsString="0" containsBlank="1"/>
    </cacheField>
    <cacheField name="Stage Completion Flag(Use)" numFmtId="0">
      <sharedItems/>
    </cacheField>
    <cacheField name="Stage Completion Date(Use)" numFmtId="14">
      <sharedItems containsNonDate="0" containsString="0" containsBlank="1"/>
    </cacheField>
    <cacheField name="Stage Completion Flag(Engage)" numFmtId="0">
      <sharedItems/>
    </cacheField>
    <cacheField name="Stage Completion Date(Engage)" numFmtId="14">
      <sharedItems containsNonDate="0" containsString="0" containsBlank="1"/>
    </cacheField>
    <cacheField name="Stage Completion Flag(Adopt)" numFmtId="0">
      <sharedItems/>
    </cacheField>
    <cacheField name="Stage Completion Date(Adopt)" numFmtId="14">
      <sharedItems containsNonDate="0" containsString="0" containsBlank="1"/>
    </cacheField>
    <cacheField name="Estimated Incentive Amount(Onboard)" numFmtId="0">
      <sharedItems containsNonDate="0" containsString="0" containsBlank="1"/>
    </cacheField>
    <cacheField name="Estimated Incentive Amount(Use)" numFmtId="0">
      <sharedItems containsNonDate="0" containsString="0" containsBlank="1"/>
    </cacheField>
    <cacheField name="Estimated Incentive Amount(Engage)" numFmtId="0">
      <sharedItems containsNonDate="0" containsString="0" containsBlank="1"/>
    </cacheField>
    <cacheField name="Estimated Incentive Amount(Adopt)" numFmtId="0">
      <sharedItems containsNonDate="0" containsString="0" containsBlank="1"/>
    </cacheField>
    <cacheField name="Revised Maximum Incentive Amount" numFmtId="0">
      <sharedItems containsNonDate="0" containsString="0" containsBlank="1"/>
    </cacheField>
    <cacheField name="Maximum Incentive Deal Flag" numFmtId="0">
      <sharedItems containsNonDate="0" containsString="0" containsBlank="1"/>
    </cacheField>
    <cacheField name="EA Flag" numFmtId="0">
      <sharedItems containsNonDate="0" containsString="0" containsBlank="1" count="1">
        <m/>
      </sharedItems>
    </cacheField>
    <cacheField name="Deal ID" numFmtId="0">
      <sharedItems containsNonDate="0" containsString="0" containsBlank="1" count="1">
        <m/>
      </sharedItems>
    </cacheField>
    <cacheField name="Deal CPI Portfolio" numFmtId="0">
      <sharedItems containsNonDate="0" containsString="0" containsBlank="1" count="1">
        <m/>
      </sharedItems>
    </cacheField>
    <cacheField name="CX Customer BU ID" numFmtId="0">
      <sharedItems containsNonDate="0" containsString="0" containsBlank="1" count="1">
        <m/>
      </sharedItems>
    </cacheField>
    <cacheField name="Plan Name" numFmtId="0">
      <sharedItems containsNonDate="0" containsString="0" containsBlank="1"/>
    </cacheField>
    <cacheField name="Cisco Relationship" numFmtId="0">
      <sharedItems containsNonDate="0" containsString="0" containsBlank="1"/>
    </cacheField>
    <cacheField name="2T Partner Name" numFmtId="0">
      <sharedItems containsNonDate="0" containsString="0" containsBlank="1" count="1">
        <m/>
      </sharedItems>
    </cacheField>
    <cacheField name="2T Partner BE GEO ID" numFmtId="0">
      <sharedItems containsNonDate="0" containsString="0" containsBlank="1"/>
    </cacheField>
    <cacheField name="Deal Name" numFmtId="0">
      <sharedItems containsNonDate="0" containsString="0" containsBlank="1"/>
    </cacheField>
    <cacheField name="CRPartyID-Offer" numFmtId="0">
      <sharedItems containsNonDate="0" containsString="0" containsBlank="1"/>
    </cacheField>
    <cacheField name="OriginalIndex" numFmtId="0">
      <sharedItems containsSemiMixedTypes="0" containsString="0" containsNumber="1" containsInteger="1" minValue="1" maxValue="1"/>
    </cacheField>
    <cacheField name="Current stage" numFmtId="0">
      <sharedItems count="1">
        <s v="Purchase"/>
      </sharedItems>
    </cacheField>
    <cacheField name="Days in stage" numFmtId="0">
      <sharedItems containsSemiMixedTypes="0" containsString="0" containsNumber="1" containsInteger="1" minValue="46165" maxValue="46165" count="1">
        <n v="46165"/>
      </sharedItems>
    </cacheField>
    <cacheField name="Current Stage Progress" numFmtId="0">
      <sharedItems count="1">
        <s v="0/0"/>
      </sharedItems>
    </cacheField>
    <cacheField name="Current stage pending tasks" numFmtId="0">
      <sharedItems containsNonDate="0" containsString="0" containsBlank="1" count="1">
        <m/>
      </sharedItems>
    </cacheField>
    <cacheField name="1st stage?" numFmtId="0">
      <sharedItems containsNonDate="0" containsString="0" containsBlank="1"/>
    </cacheField>
    <cacheField name="Expires &lt;3M?" numFmtId="0">
      <sharedItems count="1">
        <s v="No"/>
      </sharedItems>
    </cacheField>
    <cacheField name="EligibleOptedInIDs.CRPartyID-Offer" numFmtId="0">
      <sharedItems containsNonDate="0" containsString="0" containsBlank="1"/>
    </cacheField>
    <cacheField name="Offer opted-in?" numFmtId="0">
      <sharedItems count="1">
        <b v="0"/>
      </sharedItems>
    </cacheField>
    <cacheField name="Missed Incentives" numFmtId="0">
      <sharedItems containsSemiMixedTypes="0" containsString="0" containsNumber="1" containsInteger="1" minValue="0" maxValue="0"/>
    </cacheField>
    <cacheField name="Potential Incentives" numFmtId="0">
      <sharedItems containsSemiMixedTypes="0" containsString="0" containsNumber="1" containsInteger="1" minValue="0" maxValue="0"/>
    </cacheField>
    <cacheField name="Estimated Earned Incentives" numFmtId="0">
      <sharedItems containsSemiMixedTypes="0" containsString="0" containsNumber="1" containsInteger="1" minValue="0" maxValue="0"/>
    </cacheField>
    <cacheField name="Earned?" numFmtId="0">
      <sharedItems count="1">
        <b v="0"/>
      </sharedItems>
    </cacheField>
    <cacheField name="UC 25-50% eligible w/o opt-in" numFmtId="0">
      <sharedItems count="1">
        <b v="0"/>
      </sharedItems>
    </cacheField>
    <cacheField name="UC 75% eligible w/o opt-in" numFmtId="0">
      <sharedItems count="1">
        <b v="0"/>
      </sharedItems>
    </cacheField>
    <cacheField name="UC progressed and missed w/o opt-in" numFmtId="0">
      <sharedItems count="1">
        <b v="0"/>
      </sharedItems>
    </cacheField>
    <cacheField name="Offer Risk Level" numFmtId="0">
      <sharedItems containsNonDate="0" containsString="0" containsBlank="1" count="1">
        <m/>
      </sharedItems>
    </cacheField>
    <cacheField name="Is within 18 FM" numFmtId="0">
      <sharedItems/>
    </cacheField>
    <cacheField name="PVI Eligible" numFmtId="0">
      <sharedItems count="1">
        <b v="0"/>
      </sharedItems>
    </cacheField>
    <cacheField name="PVI Onboard" numFmtId="0">
      <sharedItems count="1">
        <b v="0"/>
      </sharedItems>
    </cacheField>
    <cacheField name="PVI Adopt" numFmtId="0">
      <sharedItems count="1">
        <b v="0"/>
      </sharedItems>
    </cacheField>
    <cacheField name="CRPartyNameID" numFmtId="0">
      <sharedItems containsNonDate="0" containsString="0" containsBlank="1"/>
    </cacheField>
    <cacheField name="New eligible" numFmtId="0">
      <sharedItems containsNonDate="0" containsString="0" containsBlank="1" count="1">
        <m/>
      </sharedItems>
    </cacheField>
  </cacheFields>
  <extLst>
    <ext xmlns:x14="http://schemas.microsoft.com/office/spreadsheetml/2009/9/main" uri="{725AE2AE-9491-48be-B2B4-4EB974FC3084}">
      <x14:pivotCacheDefinition pivotCacheId="55991097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x v="0"/>
    <m/>
    <x v="0"/>
    <x v="0"/>
    <x v="0"/>
    <x v="0"/>
    <x v="0"/>
    <x v="0"/>
    <x v="0"/>
    <m/>
    <x v="0"/>
    <x v="0"/>
    <x v="0"/>
    <s v="NULL"/>
    <m/>
    <s v="NULL"/>
    <m/>
    <s v="NULL"/>
    <m/>
    <s v="NULL"/>
    <m/>
    <s v="NULL"/>
    <m/>
    <s v="NULL"/>
    <m/>
    <m/>
    <m/>
    <m/>
    <m/>
    <m/>
    <m/>
    <x v="0"/>
    <x v="0"/>
    <x v="0"/>
    <x v="0"/>
    <m/>
    <m/>
    <x v="0"/>
    <m/>
    <m/>
    <m/>
    <n v="1"/>
    <x v="0"/>
    <x v="0"/>
    <x v="0"/>
    <x v="0"/>
    <m/>
    <x v="0"/>
    <m/>
    <x v="0"/>
    <n v="0"/>
    <n v="0"/>
    <n v="0"/>
    <x v="0"/>
    <x v="0"/>
    <x v="0"/>
    <x v="0"/>
    <x v="0"/>
    <b v="0"/>
    <x v="0"/>
    <x v="0"/>
    <x v="0"/>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4974294-0F19-4AE4-9769-BB9BD12C9457}" name="PivotTable1" cacheId="0" applyNumberFormats="0" applyBorderFormats="0" applyFontFormats="0" applyPatternFormats="0" applyAlignmentFormats="0" applyWidthHeightFormats="1" dataCaption="Values" updatedVersion="8" minRefreshableVersion="5" rowGrandTotals="0" colGrandTotals="0" itemPrintTitles="1" createdVersion="8" indent="0" compact="0" compactData="0" multipleFieldFilters="0">
  <location ref="A18:P19" firstHeaderRow="0" firstDataRow="1" firstDataCol="13"/>
  <pivotFields count="64">
    <pivotField axis="axisRow" compact="0" outline="0" subtotalTop="0" showAll="0" defaultSubtotal="0">
      <items count="1">
        <item x="0"/>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outline="0" subtotalTop="0" showAll="0" sortType="ascending" defaultSubtotal="0">
      <items count="1">
        <item x="0"/>
      </items>
      <extLst>
        <ext xmlns:x14="http://schemas.microsoft.com/office/spreadsheetml/2009/9/main" uri="{2946ED86-A175-432a-8AC1-64E0C546D7DE}">
          <x14:pivotField fillDownLabels="1"/>
        </ext>
      </extLst>
    </pivotField>
    <pivotField axis="axisRow" compact="0" outline="0" subtotalTop="0" showAll="0" sortType="descending" defaultSubtotal="0">
      <items count="1">
        <item x="0"/>
      </items>
      <extLst>
        <ext xmlns:x14="http://schemas.microsoft.com/office/spreadsheetml/2009/9/main" uri="{2946ED86-A175-432a-8AC1-64E0C546D7DE}">
          <x14:pivotField fillDownLabels="1"/>
        </ext>
      </extLst>
    </pivotField>
    <pivotField name="Offer" axis="axisRow" compact="0" outline="0" subtotalTop="0" showAll="0" defaultSubtotal="0">
      <items count="1">
        <item x="0"/>
      </items>
      <extLst>
        <ext xmlns:x14="http://schemas.microsoft.com/office/spreadsheetml/2009/9/main" uri="{2946ED86-A175-432a-8AC1-64E0C546D7DE}">
          <x14:pivotField fillDownLabels="1"/>
        </ext>
      </extLst>
    </pivotField>
    <pivotField name="Use Case" axis="axisRow" compact="0" outline="0" subtotalTop="0" showAll="0" defaultSubtotal="0">
      <items count="1">
        <item x="0"/>
      </items>
      <extLst>
        <ext xmlns:x14="http://schemas.microsoft.com/office/spreadsheetml/2009/9/main" uri="{2946ED86-A175-432a-8AC1-64E0C546D7DE}">
          <x14:pivotField fillDownLabels="1"/>
        </ext>
      </extLst>
    </pivotField>
    <pivotField compact="0" outline="0" subtotalTop="0" showAll="0" defaultSubtotal="0">
      <items count="1">
        <item x="0"/>
      </items>
      <extLst>
        <ext xmlns:x14="http://schemas.microsoft.com/office/spreadsheetml/2009/9/main" uri="{2946ED86-A175-432a-8AC1-64E0C546D7DE}">
          <x14:pivotField fillDownLabels="1"/>
        </ext>
      </extLst>
    </pivotField>
    <pivotField axis="axisRow" compact="0" numFmtId="14" outline="0" subtotalTop="0" showAll="0" defaultSubtotal="0">
      <items count="1">
        <item x="0"/>
      </items>
      <extLst>
        <ext xmlns:x14="http://schemas.microsoft.com/office/spreadsheetml/2009/9/main" uri="{2946ED86-A175-432a-8AC1-64E0C546D7DE}">
          <x14:pivotField fillDownLabels="1"/>
        </ext>
      </extLst>
    </pivotField>
    <pivotField compact="0" outline="0" subtotalTop="0" showAll="0" defaultSubtotal="0">
      <items count="1">
        <item x="0"/>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items count="1">
        <item x="0"/>
      </items>
      <extLst>
        <ext xmlns:x14="http://schemas.microsoft.com/office/spreadsheetml/2009/9/main" uri="{2946ED86-A175-432a-8AC1-64E0C546D7DE}">
          <x14:pivotField fillDownLabels="1"/>
        </ext>
      </extLst>
    </pivotField>
    <pivotField compact="0" outline="0" subtotalTop="0" showAll="0" defaultSubtotal="0">
      <items count="1">
        <item x="0"/>
      </items>
      <extLst>
        <ext xmlns:x14="http://schemas.microsoft.com/office/spreadsheetml/2009/9/main" uri="{2946ED86-A175-432a-8AC1-64E0C546D7DE}">
          <x14:pivotField fillDownLabels="1"/>
        </ext>
      </extLst>
    </pivotField>
    <pivotField compact="0" outline="0" subtotalTop="0" showAll="0" defaultSubtotal="0">
      <items count="1">
        <item x="0"/>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items count="1">
        <item x="0"/>
      </items>
      <extLst>
        <ext xmlns:x14="http://schemas.microsoft.com/office/spreadsheetml/2009/9/main" uri="{2946ED86-A175-432a-8AC1-64E0C546D7DE}">
          <x14:pivotField fillDownLabels="1"/>
        </ext>
      </extLst>
    </pivotField>
    <pivotField axis="axisRow" compact="0" outline="0" subtotalTop="0" showAll="0" defaultSubtotal="0">
      <items count="1">
        <item x="0"/>
      </items>
      <extLst>
        <ext xmlns:x14="http://schemas.microsoft.com/office/spreadsheetml/2009/9/main" uri="{2946ED86-A175-432a-8AC1-64E0C546D7DE}">
          <x14:pivotField fillDownLabels="1"/>
        </ext>
      </extLst>
    </pivotField>
    <pivotField compact="0" outline="0" subtotalTop="0" showAll="0" defaultSubtotal="0">
      <items count="1">
        <item x="0"/>
      </items>
      <extLst>
        <ext xmlns:x14="http://schemas.microsoft.com/office/spreadsheetml/2009/9/main" uri="{2946ED86-A175-432a-8AC1-64E0C546D7DE}">
          <x14:pivotField fillDownLabels="1"/>
        </ext>
      </extLst>
    </pivotField>
    <pivotField axis="axisRow" compact="0" outline="0" subtotalTop="0" showAll="0" defaultSubtotal="0">
      <items count="1">
        <item x="0"/>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outline="0" subtotalTop="0" showAll="0" defaultSubtotal="0">
      <items count="1">
        <item x="0"/>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outline="0" subtotalTop="0" showAll="0" defaultSubtotal="0">
      <items count="1">
        <item x="0"/>
      </items>
      <extLst>
        <ext xmlns:x14="http://schemas.microsoft.com/office/spreadsheetml/2009/9/main" uri="{2946ED86-A175-432a-8AC1-64E0C546D7DE}">
          <x14:pivotField fillDownLabels="1"/>
        </ext>
      </extLst>
    </pivotField>
    <pivotField axis="axisRow" compact="0" outline="0" subtotalTop="0" showAll="0" defaultSubtotal="0">
      <items count="1">
        <item x="0"/>
      </items>
      <extLst>
        <ext xmlns:x14="http://schemas.microsoft.com/office/spreadsheetml/2009/9/main" uri="{2946ED86-A175-432a-8AC1-64E0C546D7DE}">
          <x14:pivotField fillDownLabels="1"/>
        </ext>
      </extLst>
    </pivotField>
    <pivotField axis="axisRow" compact="0" outline="0" subtotalTop="0" showAll="0" defaultSubtotal="0">
      <items count="1">
        <item x="0"/>
      </items>
      <extLst>
        <ext xmlns:x14="http://schemas.microsoft.com/office/spreadsheetml/2009/9/main" uri="{2946ED86-A175-432a-8AC1-64E0C546D7DE}">
          <x14:pivotField fillDownLabels="1"/>
        </ext>
      </extLst>
    </pivotField>
    <pivotField axis="axisRow" compact="0" outline="0" subtotalTop="0" showAll="0" defaultSubtotal="0">
      <items count="1">
        <item x="0"/>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items count="1">
        <item x="0"/>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items count="1">
        <item x="0"/>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items count="1">
        <item x="0"/>
      </items>
      <extLst>
        <ext xmlns:x14="http://schemas.microsoft.com/office/spreadsheetml/2009/9/main" uri="{2946ED86-A175-432a-8AC1-64E0C546D7DE}">
          <x14:pivotField fillDownLabels="1"/>
        </ext>
      </extLst>
    </pivotField>
    <pivotField compact="0" outline="0" subtotalTop="0" showAll="0" defaultSubtotal="0">
      <items count="1">
        <item x="0"/>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items count="1">
        <item x="0"/>
      </items>
      <extLst>
        <ext xmlns:x14="http://schemas.microsoft.com/office/spreadsheetml/2009/9/main" uri="{2946ED86-A175-432a-8AC1-64E0C546D7DE}">
          <x14:pivotField fillDownLabels="1"/>
        </ext>
      </extLst>
    </pivotField>
    <pivotField compact="0" outline="0" subtotalTop="0" showAll="0" defaultSubtotal="0">
      <items count="1">
        <item x="0"/>
      </items>
      <extLst>
        <ext xmlns:x14="http://schemas.microsoft.com/office/spreadsheetml/2009/9/main" uri="{2946ED86-A175-432a-8AC1-64E0C546D7DE}">
          <x14:pivotField fillDownLabels="1"/>
        </ext>
      </extLst>
    </pivotField>
    <pivotField compact="0" outline="0" subtotalTop="0" showAll="0" defaultSubtotal="0">
      <items count="1">
        <item x="0"/>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items count="1">
        <item x="0"/>
      </items>
      <extLst>
        <ext xmlns:x14="http://schemas.microsoft.com/office/spreadsheetml/2009/9/main" uri="{2946ED86-A175-432a-8AC1-64E0C546D7DE}">
          <x14:pivotField fillDownLabels="1"/>
        </ext>
      </extLst>
    </pivotField>
  </pivotFields>
  <rowFields count="13">
    <field x="37"/>
    <field x="2"/>
    <field x="3"/>
    <field x="34"/>
    <field x="4"/>
    <field x="5"/>
    <field x="42"/>
    <field x="43"/>
    <field x="44"/>
    <field x="45"/>
    <field x="0"/>
    <field x="32"/>
    <field x="7"/>
  </rowFields>
  <rowItems count="1">
    <i>
      <x/>
      <x/>
      <x/>
      <x/>
      <x/>
      <x/>
      <x/>
      <x/>
      <x/>
      <x/>
      <x/>
      <x/>
      <x/>
    </i>
  </rowItems>
  <colFields count="1">
    <field x="-2"/>
  </colFields>
  <colItems count="3">
    <i>
      <x/>
    </i>
    <i i="1">
      <x v="1"/>
    </i>
    <i i="2">
      <x v="2"/>
    </i>
  </colItems>
  <dataFields count="3">
    <dataField name="Sum of Missed Incentives" fld="50" baseField="6" baseItem="32" numFmtId="167"/>
    <dataField name="Sum of Potential Incentives" fld="51" baseField="4" baseItem="120" numFmtId="167"/>
    <dataField name="Sum of Estimated Earned Incentives" fld="52" baseField="7" baseItem="2" numFmtId="167"/>
  </dataFields>
  <formats count="16">
    <format dxfId="85">
      <pivotArea outline="0" fieldPosition="0">
        <references count="1">
          <reference field="4294967294" count="1">
            <x v="0"/>
          </reference>
        </references>
      </pivotArea>
    </format>
    <format dxfId="84">
      <pivotArea dataOnly="0" outline="0" fieldPosition="0">
        <references count="1">
          <reference field="4294967294" count="1">
            <x v="2"/>
          </reference>
        </references>
      </pivotArea>
    </format>
    <format dxfId="83">
      <pivotArea outline="0" fieldPosition="0">
        <references count="1">
          <reference field="4294967294" count="1">
            <x v="2"/>
          </reference>
        </references>
      </pivotArea>
    </format>
    <format dxfId="82">
      <pivotArea field="2" type="button" dataOnly="0" labelOnly="1" outline="0" axis="axisRow" fieldPosition="1"/>
    </format>
    <format dxfId="81">
      <pivotArea field="3" type="button" dataOnly="0" labelOnly="1" outline="0" axis="axisRow" fieldPosition="2"/>
    </format>
    <format dxfId="80">
      <pivotArea field="34" type="button" dataOnly="0" labelOnly="1" outline="0" axis="axisRow" fieldPosition="3"/>
    </format>
    <format dxfId="79">
      <pivotArea field="4" type="button" dataOnly="0" labelOnly="1" outline="0" axis="axisRow" fieldPosition="4"/>
    </format>
    <format dxfId="78">
      <pivotArea field="5" type="button" dataOnly="0" labelOnly="1" outline="0" axis="axisRow" fieldPosition="5"/>
    </format>
    <format dxfId="77">
      <pivotArea field="42" type="button" dataOnly="0" labelOnly="1" outline="0" axis="axisRow" fieldPosition="6"/>
    </format>
    <format dxfId="76">
      <pivotArea field="43" type="button" dataOnly="0" labelOnly="1" outline="0" axis="axisRow" fieldPosition="7"/>
    </format>
    <format dxfId="75">
      <pivotArea field="44" type="button" dataOnly="0" labelOnly="1" outline="0" axis="axisRow" fieldPosition="8"/>
    </format>
    <format dxfId="74">
      <pivotArea field="45" type="button" dataOnly="0" labelOnly="1" outline="0" axis="axisRow" fieldPosition="9"/>
    </format>
    <format dxfId="73">
      <pivotArea field="0" type="button" dataOnly="0" labelOnly="1" outline="0" axis="axisRow" fieldPosition="10"/>
    </format>
    <format dxfId="72">
      <pivotArea field="32" type="button" dataOnly="0" labelOnly="1" outline="0" axis="axisRow" fieldPosition="11"/>
    </format>
    <format dxfId="71">
      <pivotArea field="7" type="button" dataOnly="0" labelOnly="1" outline="0" axis="axisRow" fieldPosition="12"/>
    </format>
    <format dxfId="70">
      <pivotArea dataOnly="0" labelOnly="1" outline="0" fieldPosition="0">
        <references count="1">
          <reference field="4294967294" count="3">
            <x v="0"/>
            <x v="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7D3D9515-181D-4A57-B20B-1767CB8D07F2}" autoFormatId="16" applyNumberFormats="0" applyBorderFormats="0" applyFontFormats="0" applyPatternFormats="0" applyAlignmentFormats="0" applyWidthHeightFormats="0">
  <queryTableRefresh nextId="337">
    <queryTableFields count="64">
      <queryTableField id="217" name="Deal WS-ID" tableColumnId="2"/>
      <queryTableField id="133" name="BE GEO ID" tableColumnId="5"/>
      <queryTableField id="94" name="CR Party Name" tableColumnId="43"/>
      <queryTableField id="95" name="CR Party ID" tableColumnId="44"/>
      <queryTableField id="92" name="Track" tableColumnId="41"/>
      <queryTableField id="93" name="Sub-Track" tableColumnId="42"/>
      <queryTableField id="111" name="Incentive Level" tableColumnId="60"/>
      <queryTableField id="96" name="Deal Incentive Expiry Date" tableColumnId="45"/>
      <queryTableField id="97" name="Booking Date" tableColumnId="46"/>
      <queryTableField id="98" name="Booking Amount - Net to Cisco" tableColumnId="47"/>
      <queryTableField id="99" name="Stage" tableColumnId="48"/>
      <queryTableField id="218" name="Adopt Rebate Opt-In Status" tableColumnId="19"/>
      <queryTableField id="219" name="Adopt Rebate Start Date" tableColumnId="22"/>
      <queryTableField id="166" name="Stage Completion Flag (Purchase)" tableColumnId="13"/>
      <queryTableField id="167" name="Stage Completion Date (Purchase)" tableColumnId="14"/>
      <queryTableField id="103" name="Stage Completion Flag(onboard)" tableColumnId="52"/>
      <queryTableField id="104" name="Stage Completion Date(onboard)" tableColumnId="53"/>
      <queryTableField id="168" name="Stage Completion Flag (Implement)" tableColumnId="15"/>
      <queryTableField id="169" name="Stage Completion Date (Implement)" tableColumnId="16"/>
      <queryTableField id="105" name="Stage Completion Flag(Use)" tableColumnId="54"/>
      <queryTableField id="106" name="Stage Completion Date(Use)" tableColumnId="55"/>
      <queryTableField id="107" name="Stage Completion Flag(Engage)" tableColumnId="56"/>
      <queryTableField id="108" name="Stage Completion Date(Engage)" tableColumnId="57"/>
      <queryTableField id="109" name="Stage Completion Flag(Adopt)" tableColumnId="58"/>
      <queryTableField id="110" name="Stage Completion Date(Adopt)" tableColumnId="59"/>
      <queryTableField id="112" name="Estimated Incentive Amount(Onboard)" tableColumnId="61"/>
      <queryTableField id="113" name="Estimated Incentive Amount(Use)" tableColumnId="62"/>
      <queryTableField id="114" name="Estimated Incentive Amount(Engage)" tableColumnId="63"/>
      <queryTableField id="115" name="Estimated Incentive Amount(Adopt)" tableColumnId="64"/>
      <queryTableField id="230" name="Revised Maximum Incentive Amount" tableColumnId="24"/>
      <queryTableField id="176" name="Maximum Incentive Deal Flag" tableColumnId="18"/>
      <queryTableField id="180" name="EA Flag" tableColumnId="20"/>
      <queryTableField id="91" name="Deal Id" tableColumnId="39"/>
      <queryTableField id="309" name="Deal CPI Portfolio" tableColumnId="21"/>
      <queryTableField id="310" name="CX Customer BU ID" tableColumnId="26"/>
      <queryTableField id="328" name="Plan Name" tableColumnId="28"/>
      <queryTableField id="329" name="Cisco Relationship" tableColumnId="31"/>
      <queryTableField id="330" name="2T Partner Name" tableColumnId="35"/>
      <queryTableField id="331" name="2T Partner BE GEO ID" tableColumnId="36"/>
      <queryTableField id="319" name="Deal Name" tableColumnId="27"/>
      <queryTableField id="118" name="CRPartyID-Offer" tableColumnId="67"/>
      <queryTableField id="119" name="OriginalIndex" tableColumnId="68"/>
      <queryTableField id="156" name="Current stage" tableColumnId="11"/>
      <queryTableField id="236" name="Days in stage" tableColumnId="25"/>
      <queryTableField id="220" name="Current Stage Progress" tableColumnId="23"/>
      <queryTableField id="162" name="Current stage pending tasks" tableColumnId="12"/>
      <queryTableField id="116" name="1st stage?" tableColumnId="65"/>
      <queryTableField id="117" name="Expires &lt;3M?" tableColumnId="66"/>
      <queryTableField id="124" name="EligibleOptedInIDs.CRPartyID-Offer" tableColumnId="73"/>
      <queryTableField id="126" name="Offer opted-in?" tableColumnId="1"/>
      <queryTableField id="149" name="Missed Incentives" tableColumnId="3"/>
      <queryTableField id="150" name="Potential Incentives" tableColumnId="4"/>
      <queryTableField id="225" name="Estimated Earned Incentives" tableColumnId="6"/>
      <queryTableField id="152" name="Earned?" tableColumnId="7"/>
      <queryTableField id="153" name="UC 25-50% eligible w/o opt-in" tableColumnId="8"/>
      <queryTableField id="154" name="UC 75% eligible w/o opt-in" tableColumnId="9"/>
      <queryTableField id="155" name="UC progressed and missed w/o opt-in" tableColumnId="10"/>
      <queryTableField id="234" name="Offer Risk Level" tableColumnId="17"/>
      <queryTableField id="321" name="Is within 18 FM" tableColumnId="30"/>
      <queryTableField id="323" name="PVI Eligible" tableColumnId="32"/>
      <queryTableField id="324" name="PVI Onboard" tableColumnId="33"/>
      <queryTableField id="325" name="PVI Adopt" tableColumnId="34"/>
      <queryTableField id="327" name="CRPartyNameID" tableColumnId="29"/>
      <queryTableField id="336" name="New eligible" tableColumnId="37"/>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arned?" xr10:uid="{C442B0FA-2CB8-4325-A02F-65D939BBAC6F}" sourceName="Earned?">
  <pivotTables>
    <pivotTable tabId="5" name="PivotTable1"/>
  </pivotTables>
  <data>
    <tabular pivotCacheId="559910970">
      <items count="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C_75__eligible_w_o_opt_in" xr10:uid="{6ECFF561-8B86-4AF3-88CF-B236442CF389}" sourceName="UC 75% eligible w/o opt-in">
  <pivotTables>
    <pivotTable tabId="5" name="PivotTable1"/>
  </pivotTables>
  <data>
    <tabular pivotCacheId="559910970">
      <items count="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C_progressed_and_missed_w_o_opt_in" xr10:uid="{F51ADBAA-D158-44AF-873E-736C550D7F3C}" sourceName="UC progressed and missed w/o opt-in">
  <pivotTables>
    <pivotTable tabId="5" name="PivotTable1"/>
  </pivotTables>
  <data>
    <tabular pivotCacheId="559910970">
      <items count="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C_25_50__eligible_w_o_opt_in" xr10:uid="{AD595D68-15B0-489D-A6FF-8B116667ED8F}" sourceName="UC 25-50% eligible w/o opt-in">
  <pivotTables>
    <pivotTable tabId="5" name="PivotTable1"/>
  </pivotTables>
  <data>
    <tabular pivotCacheId="559910970">
      <items count="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centive_Level" xr10:uid="{24F49C01-05BD-4B45-AAF6-C94A187AE53B}" sourceName="Incentive Level">
  <pivotTables>
    <pivotTable tabId="5" name="PivotTable1"/>
  </pivotTables>
  <data>
    <tabular pivotCacheId="559910970">
      <items count="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ge" xr10:uid="{371D2784-95A0-4BC9-844F-58E927624806}" sourceName="Stage">
  <pivotTables>
    <pivotTable tabId="5" name="PivotTable1"/>
  </pivotTables>
  <data>
    <tabular pivotCacheId="559910970">
      <items count="1">
        <i x="0"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xpires__3M?" xr10:uid="{3102FE20-A691-48E1-BBE1-DC84322C8D9F}" sourceName="Expires &lt;3M?">
  <pivotTables>
    <pivotTable tabId="5" name="PivotTable1"/>
  </pivotTables>
  <data>
    <tabular pivotCacheId="559910970">
      <items count="1">
        <i x="0"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rack" xr10:uid="{3738A2E2-F5E3-42D2-8CA1-29814AF585CE}" sourceName="Track">
  <pivotTables>
    <pivotTable tabId="5" name="PivotTable1"/>
  </pivotTables>
  <data>
    <tabular pivotCacheId="559910970">
      <items count="1">
        <i x="0"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_Track" xr10:uid="{33F9142F-10C3-47A5-9EB6-89A154034759}" sourceName="Sub-Track">
  <pivotTables>
    <pivotTable tabId="5" name="PivotTable1"/>
  </pivotTables>
  <data>
    <tabular pivotCacheId="559910970">
      <items count="1">
        <i x="0"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ffer_opted_in?" xr10:uid="{189BE0EE-B91A-46A0-B7F0-490C3DF42691}" sourceName="Offer opted-in?">
  <pivotTables>
    <pivotTable tabId="5" name="PivotTable1"/>
  </pivotTables>
  <data>
    <tabular pivotCacheId="559910970">
      <items count="1">
        <i x="0" s="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A_Flag" xr10:uid="{42EFED4F-FC89-4806-BC72-40CB3AA1DC75}" sourceName="EA Flag">
  <pivotTables>
    <pivotTable tabId="5" name="PivotTable1"/>
  </pivotTables>
  <data>
    <tabular pivotCacheId="559910970">
      <items count="1">
        <i x="0"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dopt_Rebate_Opt_In_Status" xr10:uid="{0C3573FF-515B-4EAF-9256-F63AF7BC2288}" sourceName="Adopt Rebate Opt-In Status">
  <pivotTables>
    <pivotTable tabId="5" name="PivotTable1"/>
  </pivotTables>
  <data>
    <tabular pivotCacheId="559910970">
      <items count="1">
        <i x="0" s="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ffer_Risk_Level" xr10:uid="{99CDEDF6-2DC3-4EED-BDED-8F48A929B5A7}" sourceName="Offer Risk Level">
  <pivotTables>
    <pivotTable tabId="5" name="PivotTable1"/>
  </pivotTables>
  <data>
    <tabular pivotCacheId="559910970">
      <items count="1">
        <i x="0" s="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al_CPI_Portfolio" xr10:uid="{2351FF38-43B6-4EC6-8A99-51D83209BD56}" sourceName="Deal CPI Portfolio">
  <pivotTables>
    <pivotTable tabId="5" name="PivotTable1"/>
  </pivotTables>
  <data>
    <tabular pivotCacheId="559910970">
      <items count="1">
        <i x="0" s="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VI_Eligible" xr10:uid="{ED78024D-B826-4BA3-80B4-BEF401FBBA0C}" sourceName="PVI Eligible">
  <pivotTables>
    <pivotTable tabId="5" name="PivotTable1"/>
  </pivotTables>
  <data>
    <tabular pivotCacheId="559910970">
      <items count="1">
        <i x="0" s="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VI_Onboard" xr10:uid="{00148F60-D43B-4144-B288-74161780E72F}" sourceName="PVI Onboard">
  <pivotTables>
    <pivotTable tabId="5" name="PivotTable1"/>
  </pivotTables>
  <data>
    <tabular pivotCacheId="559910970">
      <items count="1">
        <i x="0" s="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VI_Adopt" xr10:uid="{C17D3709-0FD0-43CB-980F-2F9BB8103442}" sourceName="PVI Adopt">
  <pivotTables>
    <pivotTable tabId="5" name="PivotTable1"/>
  </pivotTables>
  <data>
    <tabular pivotCacheId="559910970">
      <items count="1">
        <i x="0" s="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ew_eligible1" xr10:uid="{B7C5B705-C9FF-4F11-9EB4-845D5BD684BD}" sourceName="New eligible">
  <pivotTables>
    <pivotTable tabId="5" name="PivotTable1"/>
  </pivotTables>
  <data>
    <tabular pivotCacheId="559910970">
      <items count="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arned?" xr10:uid="{AD42AE86-5283-4468-AC2B-E0BEE22EDFE0}" cache="Slicer_Earned?" caption="Earned?" rowHeight="254906"/>
  <slicer name="UC 75% eligible w/o opt-in" xr10:uid="{54DB12D6-FC20-46E6-B133-9155ACC8B913}" cache="Slicer_UC_75__eligible_w_o_opt_in" caption="UC 75% eligible w/o opt-in" style="SlicerStyleDark2" rowHeight="254906"/>
  <slicer name="UC progressed and missed w/o opt-in" xr10:uid="{D69D38C2-4683-498B-A851-18B8E31E828A}" cache="Slicer_UC_progressed_and_missed_w_o_opt_in" caption="UC progressed and missed w/o opt-in" style="rSlicerStyleLight1 2" rowHeight="254906"/>
  <slicer name="UC 25-50% eligible w/o opt-in" xr10:uid="{EA34A9B3-EAB6-4758-B54E-69A777E32872}" cache="Slicer_UC_25_50__eligible_w_o_opt_in" caption="UC 25-50% eligible w/o opt-in" style="SlicerStyleLight3" rowHeight="254906"/>
  <slicer name="Level" xr10:uid="{B7C98167-6507-43C8-8CA2-741970BB1685}" cache="Slicer_Incentive_Level" caption="Level" rowHeight="254906"/>
  <slicer name="Stage" xr10:uid="{C8B8EC55-2CE0-40A9-A28F-D9A7A2412BED}" cache="Slicer_Stage" caption="Stage" rowHeight="254906"/>
  <slicer name="Expires &lt;3M?" xr10:uid="{AA8EA577-F956-45D9-A4B2-B3AF2289B6D6}" cache="Slicer_Expires__3M?" caption="Expires &lt;3M?" rowHeight="254906"/>
  <slicer name="Offer" xr10:uid="{A83AEEB8-5CC5-4325-8517-EA0A5A0616C0}" cache="Slicer_Track" caption="Offer" style="SlicerStyleDark1" rowHeight="254906"/>
  <slicer name="Use Case" xr10:uid="{68EB3DE4-B793-4ECB-9BC2-36EC8C8086FC}" cache="Slicer_Sub_Track" caption="Use Case" style="SlicerStyleDark1" rowHeight="254906"/>
  <slicer name="Offer opted-in?" xr10:uid="{9EC880BD-E1E6-4EC6-B810-58F2429B5AC4}" cache="Slicer_Offer_opted_in?" caption="Offer opted-in?" rowHeight="254906"/>
  <slicer name="EA Flag" xr10:uid="{73A6A220-C518-47D0-B0E8-7F2006702F8A}" cache="Slicer_EA_Flag" caption="EA Flag" rowHeight="254906"/>
  <slicer name="Adopt Rebate Opt-In Status" xr10:uid="{ABF2F30E-BD3A-4FF9-990D-5AAF4A2A3166}" cache="Slicer_Adopt_Rebate_Opt_In_Status" caption="Opt-In Status" rowHeight="254906"/>
  <slicer name="Offer Risk Level" xr10:uid="{E989533B-3E86-4A89-9446-9A3659388EC9}" cache="Slicer_Offer_Risk_Level" caption="Offer Risk Level" style="SlicerStyleLight5" rowHeight="254906"/>
  <slicer name="Deal CPI Portfolio" xr10:uid="{6F2FE0E5-2D7A-4D97-B20B-99C3C4A83D7C}" cache="Slicer_Deal_CPI_Portfolio" caption="Deal CPI Portfolio" style="SlicerStyleDark1" rowHeight="254906"/>
  <slicer name="PVI Eligible" xr10:uid="{980F29E2-7395-45F3-8EC0-9B1FAF89E051}" cache="Slicer_PVI_Eligible" caption="PVI Eligible" style="SlicerStyleLight2" rowHeight="254906"/>
  <slicer name="PVI Onboard" xr10:uid="{829781DD-8E66-4AEC-A589-10AB49A790E8}" cache="Slicer_PVI_Onboard" caption="PVI Onboard" style="SlicerStyleLight2" rowHeight="254906"/>
  <slicer name="PVI Adopt" xr10:uid="{29CE8827-6639-41B8-B818-286260DAE973}" cache="Slicer_PVI_Adopt" caption="PVI Adopt" style="SlicerStyleLight2" rowHeight="254906"/>
  <slicer name="New eligible" xr10:uid="{690072B6-D69B-4F1E-A784-FEDAF08CBBAC}" cache="Slicer_New_eligible1" caption="New Eligible" rowHeight="254906"/>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08A6A74-AC6D-474D-8EAF-A06867B32D0F}" name="Source_tbl" displayName="Source_tbl" ref="A1:BD2" totalsRowShown="0" dataDxfId="69">
  <autoFilter ref="A1:BD2" xr:uid="{00000000-0001-0000-0000-000000000000}"/>
  <tableColumns count="56">
    <tableColumn id="1" xr3:uid="{950CE509-EBFA-467D-B8C2-867718F61CAE}" name="Deal WS-ID" dataDxfId="68"/>
    <tableColumn id="2" xr3:uid="{83EA22FD-0032-4483-B3A2-D1B2859E8B4F}" name="Partner Name" dataDxfId="67"/>
    <tableColumn id="3" xr3:uid="{950D5C37-0517-40DC-9AF1-4453451F3890}" name="BE GEO ID" dataDxfId="66"/>
    <tableColumn id="4" xr3:uid="{D0004382-89F8-4593-8B2C-A233BC2A7A55}" name="Partner Country" dataDxfId="65"/>
    <tableColumn id="5" xr3:uid="{2E43CC6F-6F30-4D6A-B288-0F6829C436D0}" name="Partner Region" dataDxfId="64"/>
    <tableColumn id="6" xr3:uid="{6665F611-6EB6-4C77-B7E2-D6C17A89F76D}" name="CR Party Name" dataDxfId="63"/>
    <tableColumn id="7" xr3:uid="{0A74C3B2-B646-4AB9-9D7C-7F74BE3D0B0A}" name="CR Party ID" dataDxfId="62"/>
    <tableColumn id="8" xr3:uid="{E961F812-9E54-476B-9AB3-28C99426B153}" name="Program Type" dataDxfId="61"/>
    <tableColumn id="9" xr3:uid="{26AE6761-797A-4047-9A21-4791FC555B67}" name="Track" dataDxfId="60"/>
    <tableColumn id="10" xr3:uid="{B32AF1D3-66B9-490E-82FE-1EB841AA8DC1}" name="Sub-Track" dataDxfId="59"/>
    <tableColumn id="11" xr3:uid="{2C05F062-338D-4FFE-88BE-7E2A73BAE042}" name="Incentive Level" dataDxfId="58"/>
    <tableColumn id="12" xr3:uid="{028FBA3C-F6C8-4024-B992-FA679DA85DC5}" name="Deal Incentive Expiry Date" dataDxfId="57"/>
    <tableColumn id="13" xr3:uid="{F4C9F06D-C880-4EFA-B343-9F5D3D3DE58A}" name="Booking Date" dataDxfId="56"/>
    <tableColumn id="14" xr3:uid="{D1B7FD49-E999-4D13-B774-A936C19BE1BC}" name="Booking Amount - Net to Cisco" dataDxfId="55"/>
    <tableColumn id="15" xr3:uid="{67D84048-C992-4BB3-A2B1-002FC455ECF1}" name="Booking Amount - Net to Cisco (Currency)" dataDxfId="54"/>
    <tableColumn id="16" xr3:uid="{698BF5E9-34FA-48BF-9B58-4BBF405FB4E3}" name="Stage" dataDxfId="53"/>
    <tableColumn id="17" xr3:uid="{967960A1-FF23-420E-B8B7-B621B749CCF3}" name="Adopt Rebate Opt-In Status" dataDxfId="52"/>
    <tableColumn id="18" xr3:uid="{E2E380E6-A8A5-4900-8CB7-BBACD014BECD}" name="Adopt Rebate Start Date" dataDxfId="51"/>
    <tableColumn id="19" xr3:uid="{E6F5AE2C-6ED3-4345-950B-B246785DB577}" name="Stage Completion Flag (Purchase)" dataDxfId="50"/>
    <tableColumn id="20" xr3:uid="{1AC4FCA4-9A22-43FC-8A0C-0E245CD6C95A}" name="Stage Completion Date (Purchase)" dataDxfId="49"/>
    <tableColumn id="21" xr3:uid="{3A16F6FA-A45A-4D24-9B9F-2E88A008042B}" name="Stage Completion Flag(onboard)" dataDxfId="48"/>
    <tableColumn id="22" xr3:uid="{D3171CFC-9D21-4A2F-BDA0-4D7BA5B42DA3}" name="Stage Completion Date(onboard)" dataDxfId="47"/>
    <tableColumn id="23" xr3:uid="{E55C5E2E-5192-47DF-AE9C-892404691CA5}" name="Stage Completion Flag (Implement)" dataDxfId="46"/>
    <tableColumn id="24" xr3:uid="{AD21A6B8-D974-4B05-952C-D9D77141D8BB}" name="Stage Completion Date (Implement)" dataDxfId="45"/>
    <tableColumn id="25" xr3:uid="{ABFCB647-634C-41B8-9F13-D5FE35FC8ECD}" name="Stage Completion Flag(Use)" dataDxfId="44"/>
    <tableColumn id="26" xr3:uid="{14E01FED-B19A-4A51-9014-906CD3B10074}" name="Stage Completion Date(Use)" dataDxfId="43"/>
    <tableColumn id="27" xr3:uid="{A4DDCEA8-9DDA-44F7-B622-A5C1573479F5}" name="Stage Completion Flag(Engage)" dataDxfId="42"/>
    <tableColumn id="28" xr3:uid="{B94BAC25-E22A-43AE-ACC8-E389D1D4361F}" name="Stage Completion Date(Engage)" dataDxfId="41"/>
    <tableColumn id="29" xr3:uid="{E13F31C4-308F-4C57-AB35-E05F4B0DEB63}" name="Stage Completion Flag(Adopt)" dataDxfId="40"/>
    <tableColumn id="30" xr3:uid="{B99A32C4-C260-4191-B3B3-333C3299BF10}" name="Stage Completion Date(Adopt)" dataDxfId="39"/>
    <tableColumn id="31" xr3:uid="{E80CB6EC-C7F2-4E0B-9909-84F862EEB424}" name="Estimated Incentive Amount(Onboard)" dataDxfId="38"/>
    <tableColumn id="32" xr3:uid="{1A45CD78-77D6-4182-8FAD-13CE50CD2BC0}" name="Estimated Incentive Amount(Onboard) (Currency)" dataDxfId="37"/>
    <tableColumn id="33" xr3:uid="{7B20EE44-76E2-4818-B293-1C78AC3C6E4C}" name="Estimated Incentive Amount(Use)" dataDxfId="36"/>
    <tableColumn id="34" xr3:uid="{C3FD8E9A-30AD-4A98-8EE5-1EF7DC7FA506}" name="Estimated Incentive Amount(Use) (Currency)" dataDxfId="35"/>
    <tableColumn id="35" xr3:uid="{43245D0C-1FD2-4944-A3FD-77F5C44F4A34}" name="Estimated Incentive Amount(Engage)" dataDxfId="34"/>
    <tableColumn id="36" xr3:uid="{FBC610B9-6B0B-4B0C-AC97-CFEDB2AE8477}" name="Estimated Incentive Amount(Engage) (Currency)" dataDxfId="33"/>
    <tableColumn id="37" xr3:uid="{53DBA8B8-D888-4DB5-8C74-1C72FA7FC6B9}" name="Estimated Incentive Amount(Adopt)" dataDxfId="32"/>
    <tableColumn id="38" xr3:uid="{2D147216-35AD-41A6-845C-761B274EC7AA}" name="Estimated Incentive Amount(Adopt) (Currency)" dataDxfId="31"/>
    <tableColumn id="48" xr3:uid="{480669B9-3A51-46AE-BEEB-4F61ED089657}" name="Revised Maximum Incentive Amount" dataDxfId="30"/>
    <tableColumn id="49" xr3:uid="{9B5AAF26-C7A6-49AD-BDDB-FC23F3F10769}" name="Revised Maximum Incentive Amount (Currency)" dataDxfId="29"/>
    <tableColumn id="39" xr3:uid="{C8D7CD9B-7AAE-4164-907F-9A039F82308B}" name="Task Details (Purchase)" dataDxfId="28"/>
    <tableColumn id="40" xr3:uid="{C91692D5-79FD-48EA-9C59-4AF56AEB2425}" name="Task Details (Onboard)" dataDxfId="27"/>
    <tableColumn id="41" xr3:uid="{C69225EC-09EE-4034-BA27-E584D7AA920B}" name="Task Details (Implement)" dataDxfId="26"/>
    <tableColumn id="42" xr3:uid="{41513709-2741-471E-9396-5E43315B6B1F}" name="Task Details (Use)" dataDxfId="25"/>
    <tableColumn id="43" xr3:uid="{246016F5-8884-4668-A906-4709E1F1EC4D}" name="Task Details (Engage)" dataDxfId="24"/>
    <tableColumn id="44" xr3:uid="{C3ED3663-4798-4B71-B37A-CB1600220BD4}" name="Task Details (Adopt)" dataDxfId="23"/>
    <tableColumn id="45" xr3:uid="{D0DE81C1-DD23-4E2C-A359-81D8D69559AB}" name="Maximum Incentive Deal Flag" dataDxfId="22"/>
    <tableColumn id="46" xr3:uid="{DF3A9587-F949-4EDC-B329-B4A062F39052}" name="EA Flag" dataDxfId="21"/>
    <tableColumn id="47" xr3:uid="{B8C1435B-C625-4104-A331-A75B020E5DAC}" name="Deal ID" dataDxfId="20"/>
    <tableColumn id="50" xr3:uid="{E3713024-4FD8-4661-8412-84F603A26334}" name="Deal CPI Portfolio" dataDxfId="19"/>
    <tableColumn id="51" xr3:uid="{5AC36089-3687-4A87-B1ED-DCA62EDB61E5}" name="CX Customer BU ID" dataDxfId="18"/>
    <tableColumn id="56" xr3:uid="{A1449027-11CE-4563-9A77-8EA0D4177F33}" name="Plan Name" dataDxfId="17"/>
    <tableColumn id="55" xr3:uid="{DFB9E3E6-90AF-4D21-871D-3DFB73FAC1ED}" name="Cisco Relationship" dataDxfId="16"/>
    <tableColumn id="54" xr3:uid="{42F3DF01-C479-4C03-9BA2-36459D17EFCD}" name="2T Partner Name" dataDxfId="15"/>
    <tableColumn id="53" xr3:uid="{004C04A9-52C7-4218-9821-BDAB16D776FC}" name="2T Partner BE GEO ID" dataDxfId="14"/>
    <tableColumn id="52" xr3:uid="{EBE324FF-0E65-4F7B-B3F4-F71A966C7245}" name="Deal Name" dataDxfId="1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C13B310-82A7-406E-B6A2-27EA44D6E7CA}" name="Data" displayName="Data" ref="A1:BL2" tableType="queryTable" totalsRowShown="0">
  <autoFilter ref="A1:BL2" xr:uid="{DC13B310-82A7-406E-B6A2-27EA44D6E7CA}"/>
  <tableColumns count="64">
    <tableColumn id="2" xr3:uid="{558AD187-6CD5-419D-889C-81E06633DFA8}" uniqueName="2" name="Deal WS-ID" queryTableFieldId="217"/>
    <tableColumn id="5" xr3:uid="{E1DF8031-EA55-42E7-8DC5-CCF0B059CEE6}" uniqueName="5" name="BE GEO ID" queryTableFieldId="133"/>
    <tableColumn id="43" xr3:uid="{6D1472C2-74BE-4B96-8C30-EA388660F004}" uniqueName="43" name="CR Party Name" queryTableFieldId="94"/>
    <tableColumn id="44" xr3:uid="{2C2C8264-ED6A-41FD-9708-FA23BA80807D}" uniqueName="44" name="CR Party ID" queryTableFieldId="95"/>
    <tableColumn id="41" xr3:uid="{8BE438D1-84D9-4D82-AD6A-BB6847EE73D2}" uniqueName="41" name="Track" queryTableFieldId="92" dataDxfId="12"/>
    <tableColumn id="42" xr3:uid="{8C6B4512-D2D2-4A56-BF0A-03B0DF5351FF}" uniqueName="42" name="Sub-Track" queryTableFieldId="93"/>
    <tableColumn id="60" xr3:uid="{116B3A54-9181-40F5-A081-3E499D199CF1}" uniqueName="60" name="Incentive Level" queryTableFieldId="111"/>
    <tableColumn id="45" xr3:uid="{5C321F09-FEC9-4664-9D97-C36195D7A7B9}" uniqueName="45" name="Deal Incentive Expiry Date" queryTableFieldId="96" dataDxfId="11"/>
    <tableColumn id="46" xr3:uid="{8CA950AE-2F1D-4D40-B42A-5A6A93BC60C4}" uniqueName="46" name="Booking Date" queryTableFieldId="97" dataDxfId="10"/>
    <tableColumn id="47" xr3:uid="{40D6293C-56A8-409D-BC81-11170104BD39}" uniqueName="47" name="Booking Amount - Net to Cisco" queryTableFieldId="98"/>
    <tableColumn id="48" xr3:uid="{B7747D5C-25E6-4BAE-B661-3660626174E6}" uniqueName="48" name="Stage" queryTableFieldId="99"/>
    <tableColumn id="19" xr3:uid="{12AAABFD-5327-4FEF-ADE3-CB7756E72C5A}" uniqueName="19" name="Adopt Rebate Opt-In Status" queryTableFieldId="218"/>
    <tableColumn id="22" xr3:uid="{67396785-9525-4C66-9FD4-C7EF681C2470}" uniqueName="22" name="Adopt Rebate Start Date" queryTableFieldId="219" dataDxfId="9"/>
    <tableColumn id="13" xr3:uid="{8A9B7841-D079-4050-BC40-79D258FAB579}" uniqueName="13" name="Stage Completion Flag (Purchase)" queryTableFieldId="166"/>
    <tableColumn id="14" xr3:uid="{F2E4B288-A8CA-4F9E-82EB-74E7BA639679}" uniqueName="14" name="Stage Completion Date (Purchase)" queryTableFieldId="167" dataDxfId="8"/>
    <tableColumn id="52" xr3:uid="{AEA3D1D8-49AE-4839-AF52-6408171F6AAE}" uniqueName="52" name="Stage Completion Flag(onboard)" queryTableFieldId="103"/>
    <tableColumn id="53" xr3:uid="{BE1FE221-9B05-4C0D-9BF0-0EFEB8CA0C89}" uniqueName="53" name="Stage Completion Date(onboard)" queryTableFieldId="104" dataDxfId="7"/>
    <tableColumn id="15" xr3:uid="{952CF7C9-B508-4886-AAF4-BA0CF80EDF3A}" uniqueName="15" name="Stage Completion Flag (Implement)" queryTableFieldId="168"/>
    <tableColumn id="16" xr3:uid="{F12ED5BF-F9F3-4238-B047-DD4F62DE9A0B}" uniqueName="16" name="Stage Completion Date (Implement)" queryTableFieldId="169" dataDxfId="6"/>
    <tableColumn id="54" xr3:uid="{7EFD354A-CCEF-49EA-A3F5-1DD33FB7F21E}" uniqueName="54" name="Stage Completion Flag(Use)" queryTableFieldId="105"/>
    <tableColumn id="55" xr3:uid="{429E250E-0426-4830-B3CD-559BCB4159A3}" uniqueName="55" name="Stage Completion Date(Use)" queryTableFieldId="106" dataDxfId="5"/>
    <tableColumn id="56" xr3:uid="{8D62DE22-AEFB-41A8-A271-03A8ECDDE4B2}" uniqueName="56" name="Stage Completion Flag(Engage)" queryTableFieldId="107"/>
    <tableColumn id="57" xr3:uid="{C54AA18D-D50C-4660-BA67-EE61D31217D8}" uniqueName="57" name="Stage Completion Date(Engage)" queryTableFieldId="108" dataDxfId="4"/>
    <tableColumn id="58" xr3:uid="{2178238D-1865-46AC-8C4E-215E84A3B83F}" uniqueName="58" name="Stage Completion Flag(Adopt)" queryTableFieldId="109"/>
    <tableColumn id="59" xr3:uid="{0FC7E138-246F-4BB7-AF9D-CF4F5C3FD556}" uniqueName="59" name="Stage Completion Date(Adopt)" queryTableFieldId="110" dataDxfId="3"/>
    <tableColumn id="61" xr3:uid="{8C87CD4D-6BE3-4C5A-9A22-2460128B7DB2}" uniqueName="61" name="Estimated Incentive Amount(Onboard)" queryTableFieldId="112"/>
    <tableColumn id="62" xr3:uid="{C0577A8D-A949-493A-8182-94E52871B7E2}" uniqueName="62" name="Estimated Incentive Amount(Use)" queryTableFieldId="113"/>
    <tableColumn id="63" xr3:uid="{9C701AD5-E696-46EF-917E-A772F6F0A9F5}" uniqueName="63" name="Estimated Incentive Amount(Engage)" queryTableFieldId="114"/>
    <tableColumn id="64" xr3:uid="{470F26A1-8FBA-4EE7-8FB6-7C5AFD2537FF}" uniqueName="64" name="Estimated Incentive Amount(Adopt)" queryTableFieldId="115"/>
    <tableColumn id="24" xr3:uid="{E68FB431-27A0-4864-98A7-B22581795234}" uniqueName="24" name="Revised Maximum Incentive Amount" queryTableFieldId="230"/>
    <tableColumn id="18" xr3:uid="{8D173C35-0B4C-44D0-AF30-D9AACDFF8CFB}" uniqueName="18" name="Maximum Incentive Deal Flag" queryTableFieldId="176"/>
    <tableColumn id="20" xr3:uid="{D49FC453-9C1B-4CCE-A7DE-5919F34312BD}" uniqueName="20" name="EA Flag" queryTableFieldId="180"/>
    <tableColumn id="39" xr3:uid="{38663C67-EA29-419C-8C04-FC0F18B5A412}" uniqueName="39" name="Deal ID" queryTableFieldId="91"/>
    <tableColumn id="21" xr3:uid="{F41CE1CF-1473-49B0-9C4E-DF68C4689EF3}" uniqueName="21" name="Deal CPI Portfolio" queryTableFieldId="309"/>
    <tableColumn id="26" xr3:uid="{577D1754-A619-47DD-8C07-1378BC3694C9}" uniqueName="26" name="CX Customer BU ID" queryTableFieldId="310"/>
    <tableColumn id="28" xr3:uid="{5C81654B-D306-4F5C-9F64-2797C2756003}" uniqueName="28" name="Plan Name" queryTableFieldId="328"/>
    <tableColumn id="31" xr3:uid="{F0503235-344A-4A89-9A7E-D023C4162CBF}" uniqueName="31" name="Cisco Relationship" queryTableFieldId="329"/>
    <tableColumn id="35" xr3:uid="{90197BAD-D35C-4173-AF30-C66D1569A065}" uniqueName="35" name="2T Partner Name" queryTableFieldId="330"/>
    <tableColumn id="36" xr3:uid="{AE570364-E784-48AF-9026-6879E1D05E12}" uniqueName="36" name="2T Partner BE GEO ID" queryTableFieldId="331"/>
    <tableColumn id="27" xr3:uid="{7B7B9F1B-2BB9-4D9A-B4CE-A1620B634BAE}" uniqueName="27" name="Deal Name" queryTableFieldId="319"/>
    <tableColumn id="67" xr3:uid="{ED063190-599E-406C-AB2D-0CC48348C312}" uniqueName="67" name="CRPartyID-Offer" queryTableFieldId="118"/>
    <tableColumn id="68" xr3:uid="{65A53BDF-EAE4-4F23-891F-6DD827CF343C}" uniqueName="68" name="OriginalIndex" queryTableFieldId="119"/>
    <tableColumn id="11" xr3:uid="{9A205463-4E19-4616-BCC5-C35C7022DE73}" uniqueName="11" name="Current stage" queryTableFieldId="156"/>
    <tableColumn id="25" xr3:uid="{CD5E65BB-7E4C-4B3B-88A2-193961DBACBD}" uniqueName="25" name="Days in stage" queryTableFieldId="236"/>
    <tableColumn id="23" xr3:uid="{0C86313B-9CD6-43F2-9AC4-1181F94B5C3E}" uniqueName="23" name="Current Stage Progress" queryTableFieldId="220"/>
    <tableColumn id="12" xr3:uid="{C24EB9E8-EAF7-4DB1-9C86-9215C0FF8354}" uniqueName="12" name="Current stage pending tasks" queryTableFieldId="162"/>
    <tableColumn id="65" xr3:uid="{B9F19880-0F8C-4345-9103-0C3396275BEE}" uniqueName="65" name="1st stage?" queryTableFieldId="116"/>
    <tableColumn id="66" xr3:uid="{6BF97B00-9440-41B9-A2CB-48DC26AD55BF}" uniqueName="66" name="Expires &lt;3M?" queryTableFieldId="117"/>
    <tableColumn id="73" xr3:uid="{47FF64BD-50D1-4A1B-8433-705D65B98091}" uniqueName="73" name="EligibleOptedInIDs.CRPartyID-Offer" queryTableFieldId="124"/>
    <tableColumn id="1" xr3:uid="{936341A9-F254-4DB8-B6F1-52D6504EDAB1}" uniqueName="1" name="Offer opted-in?" queryTableFieldId="126"/>
    <tableColumn id="3" xr3:uid="{6DE692F6-36CA-4F3E-9FD9-3607709A71EA}" uniqueName="3" name="Missed Incentives" queryTableFieldId="149"/>
    <tableColumn id="4" xr3:uid="{9D5CA5E2-FAFF-4E09-93D7-797ACF932200}" uniqueName="4" name="Potential Incentives" queryTableFieldId="150"/>
    <tableColumn id="6" xr3:uid="{0B4F29CA-3146-48EB-9577-AF186DC70BF6}" uniqueName="6" name="Estimated Earned Incentives" queryTableFieldId="225"/>
    <tableColumn id="7" xr3:uid="{4D673AE1-B8F4-4A26-939D-BE2EF5F2E07D}" uniqueName="7" name="Earned?" queryTableFieldId="152"/>
    <tableColumn id="8" xr3:uid="{69A1B72D-B7D2-4E2C-A994-85616E7AC447}" uniqueName="8" name="UC 25-50% eligible w/o opt-in" queryTableFieldId="153"/>
    <tableColumn id="9" xr3:uid="{02FF317D-A49C-4CAA-87CA-CAD08539B280}" uniqueName="9" name="UC 75% eligible w/o opt-in" queryTableFieldId="154"/>
    <tableColumn id="10" xr3:uid="{75B1888E-4102-4D51-A879-AF1DB5D1B48E}" uniqueName="10" name="UC progressed and missed w/o opt-in" queryTableFieldId="155"/>
    <tableColumn id="17" xr3:uid="{D75A9EB9-E6DA-4329-8AF0-3BA2FE2769B8}" uniqueName="17" name="Offer Risk Level" queryTableFieldId="234"/>
    <tableColumn id="30" xr3:uid="{70B35FC9-EA61-4707-9462-C42853D500B4}" uniqueName="30" name="Is within 18 FM" queryTableFieldId="321"/>
    <tableColumn id="32" xr3:uid="{280FDF27-13A5-4358-98E7-EA2D689EEDFC}" uniqueName="32" name="PVI Eligible" queryTableFieldId="323"/>
    <tableColumn id="33" xr3:uid="{1925B9B5-F40B-445C-8514-EDAFABA1FD38}" uniqueName="33" name="PVI Onboard" queryTableFieldId="324"/>
    <tableColumn id="34" xr3:uid="{ECE43E15-2A73-4228-A310-4BE5FB7B1708}" uniqueName="34" name="PVI Adopt" queryTableFieldId="325"/>
    <tableColumn id="29" xr3:uid="{ECE22D29-89FA-4609-9E05-738BFC44C310}" uniqueName="29" name="CRPartyNameID" queryTableFieldId="327"/>
    <tableColumn id="37" xr3:uid="{E008C0F8-4A53-426E-9064-1B66743BA201}" uniqueName="37" name="New eligible" queryTableFieldId="336"/>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D4BDC11-7783-4419-8222-08ED9F1BFAEC}" name="Hierarchy" displayName="Hierarchy" ref="AN1:AR29" totalsRowShown="0" headerRowDxfId="2" headerRowBorderDxfId="1" tableBorderDxfId="0">
  <tableColumns count="5">
    <tableColumn id="1" xr3:uid="{4A5E2ABA-425A-4226-9BF3-D356F57B2310}" name="Domain"/>
    <tableColumn id="2" xr3:uid="{FD625F6F-055E-43E5-95F5-3D16BD27A10C}" name="Offer"/>
    <tableColumn id="3" xr3:uid="{6DF86A2C-AFF0-4518-91D3-F1E58268170F}" name="Use Case"/>
    <tableColumn id="4" xr3:uid="{3B7DF46C-2287-4611-B92E-8263989D0CFA}" name="Type"/>
    <tableColumn id="5" xr3:uid="{77D916BD-084D-45BF-BC85-0C1ED660D11A}" name="Guide"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Booking_Date" xr10:uid="{412C20B0-CB54-46DD-B1BC-C6865CEBFAE7}" sourceName="Booking Date">
  <pivotTables>
    <pivotTable tabId="5" name="PivotTable1"/>
  </pivotTables>
  <state minimalRefreshVersion="6" lastRefreshVersion="6" pivotCacheId="559910970" filterType="unknown">
    <bounds startDate="1899-12-31T00:00:00" endDate="1901-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Adopt_Rebate_Start_Date" xr10:uid="{E00AFD19-C3FB-448A-8954-6B463204AE16}" sourceName="Adopt Rebate Start Date">
  <pivotTables>
    <pivotTable tabId="5" name="PivotTable1"/>
  </pivotTables>
  <state minimalRefreshVersion="6" lastRefreshVersion="6" pivotCacheId="559910970" filterType="unknown">
    <bounds startDate="1899-12-31T00:00:00" endDate="1901-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Booking Date" xr10:uid="{5544B66E-70BA-4988-9BEE-8732A6EAAEF8}" cache="NativeTimeline_Booking_Date" caption="Booking Date" level="2" selectionLevel="2" scrollPosition="1900-06-07T00:00:00"/>
  <timeline name="Adopt Rebate Start Date" xr10:uid="{46884B2D-7E02-4925-BB33-940D32F6851F}" cache="NativeTimeline_Adopt_Rebate_Start_Date" caption="Adopt Rebate Start Date" level="2" selectionLevel="2" scrollPosition="1900-06-04T00:00:00"/>
</timelines>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hyperlink" Target="https://app.workspan.com/reports/view/19849" TargetMode="External"/><Relationship Id="rId7" Type="http://schemas.openxmlformats.org/officeDocument/2006/relationships/vmlDrawing" Target="../drawings/vmlDrawing1.vml"/><Relationship Id="rId2" Type="http://schemas.openxmlformats.org/officeDocument/2006/relationships/hyperlink" Target="https://cs.co/AdoptDash" TargetMode="External"/><Relationship Id="rId1" Type="http://schemas.openxmlformats.org/officeDocument/2006/relationships/hyperlink" Target="https://www.cisco.com/site/us/en/partners/cisco-partner-program/benefits/incentives/lifecycle/resources.html" TargetMode="Externa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hyperlink" Target="https://app.workspan.com/reports/view/21766" TargetMode="Externa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7" Type="http://schemas.microsoft.com/office/2011/relationships/timeline" Target="../timelines/timeline1.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5.vml"/><Relationship Id="rId7" Type="http://schemas.openxmlformats.org/officeDocument/2006/relationships/ctrlProp" Target="../ctrlProps/ctrlProp9.xml"/><Relationship Id="rId2" Type="http://schemas.openxmlformats.org/officeDocument/2006/relationships/drawing" Target="../drawings/drawing3.xml"/><Relationship Id="rId1" Type="http://schemas.openxmlformats.org/officeDocument/2006/relationships/hyperlink" Target="https://ebooks.cisco.com/story/360-partner-program-partner-value-index-cisco-partner-incentive-metrics-guide/page/1" TargetMode="External"/><Relationship Id="rId6" Type="http://schemas.openxmlformats.org/officeDocument/2006/relationships/ctrlProp" Target="../ctrlProps/ctrlProp8.xml"/><Relationship Id="rId5" Type="http://schemas.openxmlformats.org/officeDocument/2006/relationships/ctrlProp" Target="../ctrlProps/ctrlProp7.xml"/><Relationship Id="rId10" Type="http://schemas.openxmlformats.org/officeDocument/2006/relationships/comments" Target="../comments3.xml"/><Relationship Id="rId4" Type="http://schemas.openxmlformats.org/officeDocument/2006/relationships/ctrlProp" Target="../ctrlProps/ctrlProp6.xml"/><Relationship Id="rId9"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6.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8" Type="http://schemas.openxmlformats.org/officeDocument/2006/relationships/hyperlink" Target="https://salesresources.cisco.com/Link/Content/DC7RTb387qGWh8qWmHhfR494d48j" TargetMode="External"/><Relationship Id="rId13" Type="http://schemas.openxmlformats.org/officeDocument/2006/relationships/hyperlink" Target="https://salesresources.cisco.com/Link/Content/DCJFWjc8VhHmdGc27fQgm7VG8dJ8" TargetMode="External"/><Relationship Id="rId18" Type="http://schemas.openxmlformats.org/officeDocument/2006/relationships/hyperlink" Target="https://salesresources.cisco.com/Link/Content/DCbB2Mm8GbV3G8qJJgmb4qqQJJTP" TargetMode="External"/><Relationship Id="rId26" Type="http://schemas.openxmlformats.org/officeDocument/2006/relationships/hyperlink" Target="https://salesresources.cisco.com/Link/Content/DChWJPjDhBHCG8cQQT4dJhGDGqXB" TargetMode="External"/><Relationship Id="rId3" Type="http://schemas.openxmlformats.org/officeDocument/2006/relationships/hyperlink" Target="https://salesresources.cisco.com/Link/Content/DCc8W63BVHF4W87WV3Pf8PVcFq8P" TargetMode="External"/><Relationship Id="rId21" Type="http://schemas.openxmlformats.org/officeDocument/2006/relationships/hyperlink" Target="https://salesresources.cisco.com/Link/Content/DCCjTFMPQQWGG8WF2GjCgHCRpffB" TargetMode="External"/><Relationship Id="rId7" Type="http://schemas.openxmlformats.org/officeDocument/2006/relationships/hyperlink" Target="https://salesresources.cisco.com/Link/Content/DCc6fbbGg4Dhh872BFDXbjP9T3c8" TargetMode="External"/><Relationship Id="rId12" Type="http://schemas.openxmlformats.org/officeDocument/2006/relationships/hyperlink" Target="https://salesresources.cisco.com/Link/Content/DCq946RP494fQGhMMj8Tj7DFhMFB" TargetMode="External"/><Relationship Id="rId17" Type="http://schemas.openxmlformats.org/officeDocument/2006/relationships/hyperlink" Target="https://salesresources.cisco.com/Link/Content/DC7Qh9M2bJHDM8f2fjDqhPjVX6Pj" TargetMode="External"/><Relationship Id="rId25" Type="http://schemas.openxmlformats.org/officeDocument/2006/relationships/hyperlink" Target="https://salesresources.cisco.com/Link/Content/DC3h72hWC28BDG2MFXj9FQWdFgd8" TargetMode="External"/><Relationship Id="rId2" Type="http://schemas.openxmlformats.org/officeDocument/2006/relationships/hyperlink" Target="https://salesresources.cisco.com/Link/Content/DC9H9RVF89BMXGF2dXb2BFQFM7T8" TargetMode="External"/><Relationship Id="rId16" Type="http://schemas.openxmlformats.org/officeDocument/2006/relationships/hyperlink" Target="https://salesresources.cisco.com/Link/Content/DCMTJ82j6CjgbG9RT6pMjpgDpFXG" TargetMode="External"/><Relationship Id="rId20" Type="http://schemas.openxmlformats.org/officeDocument/2006/relationships/hyperlink" Target="https://salesresources.cisco.com/Link/Content/DCC6qVR97QGWH8fX7DjRdCRWgHCB" TargetMode="External"/><Relationship Id="rId1" Type="http://schemas.openxmlformats.org/officeDocument/2006/relationships/hyperlink" Target="https://salesresources.cisco.com/Link/Content/DCVDV84mh3TJQ8QDPD3b8W2DTcW3" TargetMode="External"/><Relationship Id="rId6" Type="http://schemas.openxmlformats.org/officeDocument/2006/relationships/hyperlink" Target="https://salesresources.cisco.com/Link/Content/DCqqQQh9MFjC7GhB4f27p3Q29Mp8" TargetMode="External"/><Relationship Id="rId11" Type="http://schemas.openxmlformats.org/officeDocument/2006/relationships/hyperlink" Target="https://salesresources.cisco.com/Link/Content/DCXpXdRBQW63287WQf7pVJm4fqFd" TargetMode="External"/><Relationship Id="rId24" Type="http://schemas.openxmlformats.org/officeDocument/2006/relationships/hyperlink" Target="https://salesresources.cisco.com/Link/Content/DCJThRm6W4gMBGHWGRP9bRXh8Hjd" TargetMode="External"/><Relationship Id="rId5" Type="http://schemas.openxmlformats.org/officeDocument/2006/relationships/hyperlink" Target="https://salesresources.cisco.com/Link/Content/DCXqmHdjGfcB38CCfXbBcTWMXTQV" TargetMode="External"/><Relationship Id="rId15" Type="http://schemas.openxmlformats.org/officeDocument/2006/relationships/hyperlink" Target="https://salesresources.cisco.com/Link/Content/DC4Pd2GRgGFRg8cFdMQWMqcMFC7d" TargetMode="External"/><Relationship Id="rId23" Type="http://schemas.openxmlformats.org/officeDocument/2006/relationships/hyperlink" Target="https://salesresources.cisco.com/Link/Content/DCTmhf2TBqq4WG7Xh7TVbHDTFfF3" TargetMode="External"/><Relationship Id="rId10" Type="http://schemas.openxmlformats.org/officeDocument/2006/relationships/hyperlink" Target="https://salesresources.cisco.com/Link/Content/DC6b33dB8DFQ7GFD884m9JCFVHRd" TargetMode="External"/><Relationship Id="rId19" Type="http://schemas.openxmlformats.org/officeDocument/2006/relationships/hyperlink" Target="https://salesresources.cisco.com/Link/Content/DCH4dRd8bC7q38WDVGPCqjTdgf2j" TargetMode="External"/><Relationship Id="rId4" Type="http://schemas.openxmlformats.org/officeDocument/2006/relationships/hyperlink" Target="https://salesresources.cisco.com/Link/Content/DCmXHjbd8qqG284Jc2h7fhqCjXhG" TargetMode="External"/><Relationship Id="rId9" Type="http://schemas.openxmlformats.org/officeDocument/2006/relationships/hyperlink" Target="https://salesresources.cisco.com/Link/Content/DCT9mHbWqbjVq89JRmXWmcRjdF6d" TargetMode="External"/><Relationship Id="rId14" Type="http://schemas.openxmlformats.org/officeDocument/2006/relationships/hyperlink" Target="https://salesresources.cisco.com/Link/Content/DCjjXWbm7hpJPGcT9XpV7MpW47cj" TargetMode="External"/><Relationship Id="rId22" Type="http://schemas.openxmlformats.org/officeDocument/2006/relationships/hyperlink" Target="https://salesresources.cisco.com/Link/Content/DCHFpmXWT92HTGQCqH6Mfm3gCPj3" TargetMode="External"/><Relationship Id="rId27"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BC0AA-4830-4DA1-A74D-73451BDAC5B5}">
  <sheetPr codeName="Sheet5">
    <tabColor rgb="FFFFFF00"/>
  </sheetPr>
  <dimension ref="A1:Q26"/>
  <sheetViews>
    <sheetView showGridLines="0" tabSelected="1" zoomScale="145" zoomScaleNormal="145" workbookViewId="0">
      <selection activeCell="F22" sqref="F22"/>
    </sheetView>
  </sheetViews>
  <sheetFormatPr defaultColWidth="8.84375" defaultRowHeight="14.6" x14ac:dyDescent="0.4"/>
  <sheetData>
    <row r="1" spans="1:17" ht="31.4" customHeight="1" x14ac:dyDescent="0.4">
      <c r="A1" s="222" t="s">
        <v>193</v>
      </c>
      <c r="B1" s="222"/>
      <c r="C1" s="222"/>
      <c r="D1" s="222"/>
      <c r="E1" s="222"/>
      <c r="F1" s="222"/>
      <c r="G1" s="222"/>
      <c r="H1" s="222"/>
      <c r="I1" s="222"/>
      <c r="J1" s="222"/>
    </row>
    <row r="2" spans="1:17" ht="15" thickBot="1" x14ac:dyDescent="0.45">
      <c r="A2" s="116"/>
      <c r="B2" s="116"/>
      <c r="C2" s="116"/>
      <c r="D2" s="116"/>
      <c r="E2" s="116"/>
      <c r="F2" s="116"/>
      <c r="G2" s="116"/>
      <c r="H2" s="116"/>
      <c r="I2" s="116"/>
      <c r="J2" s="116"/>
    </row>
    <row r="3" spans="1:17" x14ac:dyDescent="0.4">
      <c r="A3" s="229" t="s">
        <v>317</v>
      </c>
      <c r="B3" s="230"/>
      <c r="C3" s="230"/>
      <c r="D3" s="230"/>
      <c r="E3" s="231"/>
      <c r="F3" s="226" t="s">
        <v>318</v>
      </c>
      <c r="G3" s="227"/>
      <c r="H3" s="227"/>
      <c r="I3" s="227"/>
      <c r="J3" s="228"/>
      <c r="P3" s="8"/>
    </row>
    <row r="4" spans="1:17" x14ac:dyDescent="0.4">
      <c r="A4" s="120" t="s">
        <v>321</v>
      </c>
      <c r="E4" s="121"/>
      <c r="F4" s="120" t="s">
        <v>322</v>
      </c>
      <c r="J4" s="121"/>
      <c r="P4" s="51"/>
    </row>
    <row r="5" spans="1:17" x14ac:dyDescent="0.4">
      <c r="A5" s="120"/>
      <c r="B5" s="122" t="s">
        <v>270</v>
      </c>
      <c r="C5" s="103"/>
      <c r="E5" s="121"/>
      <c r="F5" s="120"/>
      <c r="G5" s="122" t="s">
        <v>270</v>
      </c>
      <c r="J5" s="121"/>
      <c r="K5" s="64"/>
      <c r="P5" s="51"/>
      <c r="Q5" s="103"/>
    </row>
    <row r="6" spans="1:17" x14ac:dyDescent="0.4">
      <c r="A6" s="123" t="s">
        <v>319</v>
      </c>
      <c r="E6" s="121"/>
      <c r="F6" s="123" t="s">
        <v>320</v>
      </c>
      <c r="G6" s="9"/>
      <c r="J6" s="121"/>
    </row>
    <row r="7" spans="1:17" x14ac:dyDescent="0.4">
      <c r="A7" s="120"/>
      <c r="E7" s="121"/>
      <c r="F7" s="120"/>
      <c r="J7" s="121"/>
      <c r="P7" s="51"/>
    </row>
    <row r="8" spans="1:17" x14ac:dyDescent="0.4">
      <c r="A8" s="120"/>
      <c r="E8" s="121"/>
      <c r="F8" s="120"/>
      <c r="J8" s="121"/>
    </row>
    <row r="9" spans="1:17" ht="15" thickBot="1" x14ac:dyDescent="0.45">
      <c r="A9" s="124"/>
      <c r="B9" s="5"/>
      <c r="C9" s="5"/>
      <c r="D9" s="5"/>
      <c r="E9" s="125"/>
      <c r="F9" s="124"/>
      <c r="G9" s="5"/>
      <c r="H9" s="5"/>
      <c r="I9" s="5"/>
      <c r="J9" s="125"/>
    </row>
    <row r="10" spans="1:17" ht="28.75" customHeight="1" x14ac:dyDescent="0.4"/>
    <row r="11" spans="1:17" s="101" customFormat="1" ht="12" x14ac:dyDescent="0.35">
      <c r="A11" s="126" t="s">
        <v>324</v>
      </c>
      <c r="B11" s="127"/>
      <c r="C11" s="128" t="s">
        <v>325</v>
      </c>
      <c r="D11" s="129"/>
      <c r="E11" s="119"/>
      <c r="F11" s="119"/>
      <c r="G11" s="119"/>
      <c r="H11" s="119"/>
      <c r="I11" s="119"/>
      <c r="J11" s="119"/>
      <c r="K11" s="119"/>
    </row>
    <row r="12" spans="1:17" s="101" customFormat="1" ht="12" x14ac:dyDescent="0.35"/>
    <row r="13" spans="1:17" s="104" customFormat="1" ht="12" x14ac:dyDescent="0.35">
      <c r="A13" s="104" t="s">
        <v>205</v>
      </c>
      <c r="B13" s="101"/>
      <c r="C13" s="101"/>
      <c r="D13" s="117" t="s">
        <v>195</v>
      </c>
    </row>
    <row r="14" spans="1:17" s="101" customFormat="1" ht="12" x14ac:dyDescent="0.35">
      <c r="A14" s="118" t="s">
        <v>196</v>
      </c>
      <c r="B14" s="104"/>
      <c r="C14" s="104"/>
      <c r="D14" s="104"/>
    </row>
    <row r="15" spans="1:17" s="101" customFormat="1" ht="12" x14ac:dyDescent="0.35">
      <c r="A15" s="118" t="s">
        <v>201</v>
      </c>
    </row>
    <row r="17" spans="1:10" x14ac:dyDescent="0.4">
      <c r="A17" s="9" t="s">
        <v>0</v>
      </c>
    </row>
    <row r="18" spans="1:10" x14ac:dyDescent="0.4">
      <c r="E18" s="69"/>
    </row>
    <row r="19" spans="1:10" x14ac:dyDescent="0.4">
      <c r="A19" s="162" t="s">
        <v>396</v>
      </c>
    </row>
    <row r="20" spans="1:10" x14ac:dyDescent="0.4">
      <c r="A20" s="101" t="s">
        <v>316</v>
      </c>
      <c r="D20" s="223" t="s">
        <v>269</v>
      </c>
      <c r="E20" s="224"/>
      <c r="F20" s="224"/>
      <c r="G20" s="224"/>
      <c r="H20" s="225"/>
      <c r="J20" s="102"/>
    </row>
    <row r="21" spans="1:10" x14ac:dyDescent="0.4">
      <c r="A21" s="104"/>
      <c r="D21" s="112" t="s">
        <v>271</v>
      </c>
      <c r="E21" s="106" t="s">
        <v>81</v>
      </c>
      <c r="F21" s="106" t="s">
        <v>315</v>
      </c>
      <c r="G21" s="106"/>
      <c r="H21" s="107"/>
    </row>
    <row r="22" spans="1:10" x14ac:dyDescent="0.4">
      <c r="A22" s="101" t="str">
        <f>IF(A23="","","Latest booking date")</f>
        <v>Latest booking date</v>
      </c>
      <c r="D22" s="130"/>
      <c r="E22" s="130"/>
      <c r="F22" s="130" t="s">
        <v>284</v>
      </c>
      <c r="G22" s="106"/>
      <c r="H22" s="107"/>
    </row>
    <row r="23" spans="1:10" x14ac:dyDescent="0.4">
      <c r="A23" s="105">
        <f>IF(MAX(Data[Booking Date])=0,"",MAX(Data[Booking Date]))</f>
        <v>1</v>
      </c>
      <c r="D23" s="108"/>
      <c r="E23" s="109"/>
      <c r="F23" s="109"/>
      <c r="G23" s="110"/>
      <c r="H23" s="111"/>
    </row>
    <row r="24" spans="1:10" x14ac:dyDescent="0.4">
      <c r="C24" s="29"/>
    </row>
    <row r="25" spans="1:10" x14ac:dyDescent="0.4">
      <c r="A25" s="113" t="s">
        <v>1</v>
      </c>
      <c r="B25" s="114" t="s">
        <v>389</v>
      </c>
      <c r="C25" s="29"/>
    </row>
    <row r="26" spans="1:10" x14ac:dyDescent="0.4">
      <c r="A26" s="113" t="s">
        <v>2</v>
      </c>
      <c r="B26" s="115" t="s">
        <v>390</v>
      </c>
      <c r="C26" s="29"/>
    </row>
  </sheetData>
  <sheetProtection formatCells="0"/>
  <protectedRanges>
    <protectedRange sqref="D22 E22 F22 A23 A19 A21" name="Range1"/>
  </protectedRanges>
  <mergeCells count="4">
    <mergeCell ref="A1:J1"/>
    <mergeCell ref="D20:H20"/>
    <mergeCell ref="F3:J3"/>
    <mergeCell ref="A3:E3"/>
  </mergeCells>
  <dataValidations count="2">
    <dataValidation type="list" allowBlank="1" showInputMessage="1" showErrorMessage="1" sqref="D22" xr:uid="{7F2CB228-3D9D-463A-8DB6-3EFC6B03F56C}">
      <formula1>"EMEA,AMER,APJC,DISTI"</formula1>
    </dataValidation>
    <dataValidation type="list" allowBlank="1" showInputMessage="1" showErrorMessage="1" sqref="F22" xr:uid="{99237F79-B33F-4DC9-A200-6A7A7E23BA4B}">
      <formula1>Weeks</formula1>
    </dataValidation>
  </dataValidations>
  <hyperlinks>
    <hyperlink ref="D13" r:id="rId1" display="LCI Resources" xr:uid="{A8957F91-6675-4C0C-8F62-E1749E317809}"/>
    <hyperlink ref="C11" r:id="rId2" xr:uid="{86E18F78-B228-43E4-B63B-C9493FDE93F7}"/>
    <hyperlink ref="B5" r:id="rId3" display="Web" xr:uid="{592B406C-B3CF-4E3C-84F1-AA956B5E082F}"/>
    <hyperlink ref="G5" r:id="rId4" xr:uid="{7E570999-314B-41C0-BF12-4120B2AFD532}"/>
  </hyperlinks>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049" r:id="rId8" name="Button 1">
              <controlPr defaultSize="0" print="0" autoFill="0" autoPict="0" macro="[0]!Import_Source_Refresh_All_INTERNAL">
                <anchor>
                  <from>
                    <xdr:col>6</xdr:col>
                    <xdr:colOff>299357</xdr:colOff>
                    <xdr:row>20</xdr:row>
                    <xdr:rowOff>87086</xdr:rowOff>
                  </from>
                  <to>
                    <xdr:col>7</xdr:col>
                    <xdr:colOff>342900</xdr:colOff>
                    <xdr:row>21</xdr:row>
                    <xdr:rowOff>152400</xdr:rowOff>
                  </to>
                </anchor>
              </controlPr>
            </control>
          </mc:Choice>
        </mc:AlternateContent>
        <mc:AlternateContent xmlns:mc="http://schemas.openxmlformats.org/markup-compatibility/2006">
          <mc:Choice Requires="x14">
            <control shapeId="2050" r:id="rId9" name="Button 2">
              <controlPr defaultSize="0" print="0" autoFill="0" autoPict="0" macro="[0]!Clear_All_Data">
                <anchor>
                  <from>
                    <xdr:col>4</xdr:col>
                    <xdr:colOff>59871</xdr:colOff>
                    <xdr:row>9</xdr:row>
                    <xdr:rowOff>43543</xdr:rowOff>
                  </from>
                  <to>
                    <xdr:col>5</xdr:col>
                    <xdr:colOff>571500</xdr:colOff>
                    <xdr:row>9</xdr:row>
                    <xdr:rowOff>337457</xdr:rowOff>
                  </to>
                </anchor>
              </controlPr>
            </control>
          </mc:Choice>
        </mc:AlternateContent>
        <mc:AlternateContent xmlns:mc="http://schemas.openxmlformats.org/markup-compatibility/2006">
          <mc:Choice Requires="x14">
            <control shapeId="2051" r:id="rId10" name="Partner_button">
              <controlPr defaultSize="0" print="0" autoFill="0" autoPict="0" macro="[0]!Partner_Import_Click">
                <anchor>
                  <from>
                    <xdr:col>1</xdr:col>
                    <xdr:colOff>332014</xdr:colOff>
                    <xdr:row>6</xdr:row>
                    <xdr:rowOff>130629</xdr:rowOff>
                  </from>
                  <to>
                    <xdr:col>3</xdr:col>
                    <xdr:colOff>217714</xdr:colOff>
                    <xdr:row>8</xdr:row>
                    <xdr:rowOff>38100</xdr:rowOff>
                  </to>
                </anchor>
              </controlPr>
            </control>
          </mc:Choice>
        </mc:AlternateContent>
        <mc:AlternateContent xmlns:mc="http://schemas.openxmlformats.org/markup-compatibility/2006">
          <mc:Choice Requires="x14">
            <control shapeId="2052" r:id="rId11" name="Disti_button">
              <controlPr defaultSize="0" print="0" autoFill="0" autoPict="0" macro="[0]!Disti_Import_Click">
                <anchor>
                  <from>
                    <xdr:col>6</xdr:col>
                    <xdr:colOff>435429</xdr:colOff>
                    <xdr:row>6</xdr:row>
                    <xdr:rowOff>136071</xdr:rowOff>
                  </from>
                  <to>
                    <xdr:col>8</xdr:col>
                    <xdr:colOff>326571</xdr:colOff>
                    <xdr:row>8</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B47A75-0DD1-48D3-910A-613DF8316540}">
  <sheetPr codeName="Sheet2"/>
  <dimension ref="A1:T33"/>
  <sheetViews>
    <sheetView showGridLines="0" zoomScale="85" zoomScaleNormal="85" workbookViewId="0">
      <selection activeCell="G37" sqref="G37"/>
    </sheetView>
  </sheetViews>
  <sheetFormatPr defaultColWidth="8.84375" defaultRowHeight="14.6" x14ac:dyDescent="0.4"/>
  <cols>
    <col min="1" max="1" width="21.4609375" customWidth="1"/>
    <col min="2" max="2" width="26.69140625" customWidth="1"/>
    <col min="3" max="3" width="46.15234375" bestFit="1" customWidth="1"/>
    <col min="4" max="4" width="8.69140625" bestFit="1" customWidth="1"/>
    <col min="5" max="5" width="13.69140625" customWidth="1"/>
    <col min="6" max="6" width="19.3828125" customWidth="1"/>
    <col min="7" max="7" width="13.84375" customWidth="1"/>
    <col min="8" max="8" width="16.69140625" customWidth="1"/>
    <col min="9" max="10" width="13.84375" customWidth="1"/>
    <col min="11" max="11" width="14.3828125" customWidth="1"/>
    <col min="12" max="13" width="13.84375" customWidth="1"/>
    <col min="14" max="14" width="13.3046875" customWidth="1"/>
    <col min="15" max="15" width="13.84375" customWidth="1"/>
    <col min="16" max="16" width="11.15234375" customWidth="1"/>
    <col min="17" max="17" width="13.53515625" style="52" bestFit="1" customWidth="1"/>
    <col min="18" max="18" width="10.84375" style="52" bestFit="1" customWidth="1"/>
    <col min="19" max="20" width="11.84375" style="52" bestFit="1" customWidth="1"/>
  </cols>
  <sheetData>
    <row r="1" spans="1:17" ht="15" thickBot="1" x14ac:dyDescent="0.45">
      <c r="E1" s="232" t="s">
        <v>214</v>
      </c>
      <c r="F1" s="232"/>
      <c r="G1" s="232"/>
      <c r="H1" s="232"/>
      <c r="I1" s="232"/>
      <c r="J1" s="232"/>
      <c r="K1" s="232"/>
      <c r="L1" s="232"/>
      <c r="M1" s="232"/>
      <c r="N1" s="232"/>
      <c r="O1" s="232"/>
      <c r="P1" s="232"/>
      <c r="Q1" s="232"/>
    </row>
    <row r="2" spans="1:17" ht="64.400000000000006" customHeight="1" thickBot="1" x14ac:dyDescent="0.45">
      <c r="A2" s="172" t="s">
        <v>3</v>
      </c>
      <c r="B2" s="7" t="s">
        <v>4</v>
      </c>
      <c r="C2" s="7" t="s">
        <v>5</v>
      </c>
      <c r="D2" s="167" t="s">
        <v>6</v>
      </c>
      <c r="E2" s="198" t="s">
        <v>7</v>
      </c>
      <c r="F2" s="34" t="s">
        <v>8</v>
      </c>
      <c r="G2" s="14" t="s">
        <v>9</v>
      </c>
      <c r="H2" s="14" t="s">
        <v>10</v>
      </c>
      <c r="I2" s="10" t="s">
        <v>11</v>
      </c>
      <c r="J2" s="10" t="s">
        <v>12</v>
      </c>
      <c r="K2" s="10" t="s">
        <v>10</v>
      </c>
      <c r="L2" s="40" t="s">
        <v>13</v>
      </c>
      <c r="M2" s="40" t="s">
        <v>12</v>
      </c>
      <c r="N2" s="18" t="s">
        <v>14</v>
      </c>
      <c r="O2" s="18" t="s">
        <v>15</v>
      </c>
      <c r="P2" s="18" t="s">
        <v>16</v>
      </c>
      <c r="Q2" s="199" t="s">
        <v>211</v>
      </c>
    </row>
    <row r="3" spans="1:17" x14ac:dyDescent="0.4">
      <c r="A3" s="168" t="str" cm="1">
        <f t="array" ref="A3:A30">Hierarchy[Domain]</f>
        <v>Networking</v>
      </c>
      <c r="B3" s="4" t="str" cm="1">
        <f t="array" ref="B3:B30">Hierarchy[Offer]</f>
        <v>Catalyst Center</v>
      </c>
      <c r="C3" s="4" t="str" cm="1">
        <f t="array" ref="C3:C30">Hierarchy[Use Case]</f>
        <v>Campus Network Automation</v>
      </c>
      <c r="D3" s="169" t="str" cm="1">
        <f t="array" ref="D3:D30">Hierarchy[Type]</f>
        <v>Standard</v>
      </c>
      <c r="E3" s="200" cm="1">
        <f t="array" ref="E3">IFERROR(
    _xlfn.LET(
        _xlpm.filteredCRPartyIDs, _xlfn._xlws.FILTER(
                                Data[CR Party ID],
                                (Data[Sub-Track]=C3) *
                                (Data[Offer opted-in?]=FALSE) *
                                (Data[Stage]="Eligible")
                            ),
        _xlpm.uniqueIDs, _xlfn.UNIQUE(_xlpm.filteredCRPartyIDs),
        ROWS(_xlpm.uniqueIDs)
    ),
    0
)</f>
        <v>0</v>
      </c>
      <c r="F3" s="35" cm="1">
        <f t="array" ref="F3">IFERROR(
    _xlfn.LET(
        _xlpm.criteriaTrack, B3,
        _xlpm.criteriaSubTrack, C3,
        _xlpm.criteriaStage, "Eligible",
        _xlpm.criteriaOfferOptedIn, FALSE,
        _xlpm.combinedCondition, (Data[Track]=_xlpm.criteriaTrack) *
                           (Data[Sub-Track]=_xlpm.criteriaSubTrack) *
                           (Data[Stage]=_xlpm.criteriaStage) *
                           (Data[Offer opted-in?]=_xlpm.criteriaOfferOptedIn),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Data[Stage], _xlpm.criteriaStage,
                                Data[Offer opted-in?], _xlpm.criteriaOfferOptedIn
                            )
                        )
                    )
                )
            )
        )
    ),
    0
)</f>
        <v>0</v>
      </c>
      <c r="G3" s="20" cm="1">
        <f t="array" ref="G3">IFERROR(
    _xlfn.LET(
        _xlpm.combinedCondition, (Data[Sub-Track]=C3) *
                           (Data[UC 25-50% eligible w/o opt-in]=TRUE),
        _xlpm.filteredCRPartyIDs, _xlfn._xlws.FILTER(Data[CR Party ID], _xlpm.combinedCondition),
        _xlpm.uniqueIDs, _xlfn.UNIQUE(_xlpm.filteredCRPartyIDs),
        ROWS(_xlpm.uniqueIDs)
    ),
    0
)</f>
        <v>0</v>
      </c>
      <c r="H3" s="15" cm="1">
        <f t="array" ref="H3">IFERROR(
    _xlfn.LET(
        _xlpm.criteriaTrack, B3,
        _xlpm.criteriaSubTrack, C3,
        _xlpm.criteriaUCCondition, TRUE,
        _xlpm.combinedCondition, (Data[Track]=_xlpm.criteriaTrack) *
                           (Data[Sub-Track]=_xlpm.criteriaSubTrack) *
                           (Data[UC 25-50%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Data[UC 25-50% eligible w/o opt-in], _xlpm.criteriaUCCondition
                            )
                        )
                    )
                )
            )
        )
    ),
    0
)</f>
        <v>0</v>
      </c>
      <c r="I3" s="19" cm="1">
        <f t="array" ref="I3">IFERROR(
    _xlfn.LET(
        _xlpm.combinedCondition, (Data[Sub-Track]=C3) *
                           (Data[UC 75% eligible w/o opt-in]=TRUE),
        _xlpm.filteredCRPartyIDs, _xlfn._xlws.FILTER(Data[CR Party ID], _xlpm.combinedCondition),
        _xlpm.uniqueIDs, _xlfn.UNIQUE(_xlpm.filteredCRPartyIDs),
        ROWS(_xlpm.uniqueIDs)
    ),
    0
)</f>
        <v>0</v>
      </c>
      <c r="J3" s="11" cm="1">
        <f t="array" ref="J3">IFERROR(
    _xlfn.LET(
        _xlpm.criteriaTrack, B3,
        _xlpm.criteriaSubTrack, C3,
        _xlpm.criteriaUCCondition, TRUE,
        _xlpm.combinedCondition, (Data[Track]=_xlpm.criteriaTrack) *
                           (Data[Sub-Track]=_xlpm.criteriaSubTrack) *
                           (Data[UC 75%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Data[Missed Incentives],
                                Data[CRPartyID-Offer], _xlpm.currentPair,
                                Data[Track], _xlpm.criteriaTrack,
                                Data[Sub-Track], _xlpm.criteriaSubTrack,
                                Data[UC 75% eligible w/o opt-in], _xlpm.criteriaUCCondition
                            )
                        )
                    )
                )
            )
        )
    ),
    0
)</f>
        <v>0</v>
      </c>
      <c r="K3" s="11" cm="1">
        <f t="array" ref="K3">IFERROR(
    _xlfn.LET(
        _xlpm.criteriaTrack, B3,
        _xlpm.criteriaSubTrack, C3,
        _xlpm.criteriaUCCondition, TRUE,
        _xlpm.combinedCondition, (Data[Track]=_xlpm.criteriaTrack) *
                           (Data[Sub-Track]=_xlpm.criteriaSubTrack) *
                           (Data[UC 75%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Data[UC 75% eligible w/o opt-in], _xlpm.criteriaUCCondition
                            )
                        )
                    )
                )
            )
        )
    ),
    0
)</f>
        <v>0</v>
      </c>
      <c r="L3" s="41" cm="1">
        <f t="array" ref="L3">IFERROR(
    _xlfn.LET(
        _xlpm.combinedCondition, (Data[Sub-Track]=C3) *
                           (Data[UC progressed and missed w/o opt-in]=TRUE),
        _xlpm.filteredCRPartyIDs, _xlfn._xlws.FILTER(Data[CR Party ID], _xlpm.combinedCondition),
        _xlpm.uniqueIDs, _xlfn.UNIQUE(_xlpm.filteredCRPartyIDs),
        ROWS(_xlpm.uniqueIDs)
    ),
    0
)</f>
        <v>0</v>
      </c>
      <c r="M3" s="42" cm="1">
        <f t="array" ref="M3">IFERROR(
    _xlfn.LET(
        _xlpm.criteriaTrack, B3,
        _xlpm.criteriaSubTrack, C3,
        _xlpm.criteriaUCCondition, TRUE,
        _xlpm.combinedCondition, (Data[Track]=_xlpm.criteriaTrack) *
                           (Data[Sub-Track]=_xlpm.criteriaSubTrack) *
                           (Data[UC progressed and missed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Data[Missed Incentives],
                                Data[CRPartyID-Offer], _xlpm.currentPair,
                                Data[Track], _xlpm.criteriaTrack,
                                Data[Sub-Track], _xlpm.criteriaSubTrack,
                                Data[UC progressed and missed w/o opt-in], _xlpm.criteriaUCCondition
                            )
                        )
                    )
                )
            )
        )
    ),
    0
)</f>
        <v>0</v>
      </c>
      <c r="N3" s="201" cm="1">
        <f t="array" ref="N3">_xlfn.LET(
    _xlpm.combinedCondition, (Data[Sub-Track]=C3) *
                       (Data[Adopt Rebate Opt-In Status]="Opted in") *
                       (Data[Stage]="Eligible"),
    SUM(_xlpm.combinedCondition)
)</f>
        <v>0</v>
      </c>
      <c r="O3" s="202" cm="1">
        <f t="array" ref="O3">IFERROR(
    _xlfn.LET(
        _xlpm.combinedCondition, (Data[Sub-Track]=C3) *
                           (Data[Adopt Rebate Opt-In Status]="Opted in") *
                           (Data[Stage]="Eligible"),
        _xlpm.filteredIncentives, _xlfn._xlws.FILTER(Data[Potential Incentives], _xlpm.combinedCondition),
        SUM(_xlpm.filteredIncentives)
    ),
    0
)</f>
        <v>0</v>
      </c>
      <c r="P3" s="21" cm="1">
        <f t="array" ref="P3">IFERROR(
    _xlfn.LET(
        _xlpm.combinedCondition, (Data[Sub-Track]=C3) *
                           (Data[Earned?]=TRUE),
        SUM(_xlpm.combinedCondition)
    ),
    0
)</f>
        <v>0</v>
      </c>
      <c r="Q3" s="203" cm="1">
        <f t="array" ref="Q3">IFERROR(
    _xlfn.LET(
        _xlpm.combinedCondition, (Data[Sub-Track]=C3),
        _xlpm.filteredIncentives, _xlfn._xlws.FILTER(Data[Estimated Earned Incentives], _xlpm.combinedCondition),
        IF(ROWS(_xlpm.filteredIncentives)=0, 0, SUM(_xlpm.filteredIncentives))
    ),
    0
)</f>
        <v>0</v>
      </c>
    </row>
    <row r="4" spans="1:17" x14ac:dyDescent="0.4">
      <c r="A4" s="120" t="str">
        <v>Networking</v>
      </c>
      <c r="B4" t="str">
        <v>Catalyst Center</v>
      </c>
      <c r="C4" t="str">
        <v>Campus Network Observability and Insights</v>
      </c>
      <c r="D4" s="121" t="str">
        <v>Standard</v>
      </c>
      <c r="E4" s="204" cm="1">
        <f t="array" ref="E4">IFERROR(
    _xlfn.LET(
        _xlpm.filteredCRPartyIDs, _xlfn._xlws.FILTER(
                                Data[CR Party ID],
                                (Data[Sub-Track]=C4) *
                                (Data[Offer opted-in?]=FALSE) *
                                (Data[Stage]="Eligible")
                            ),
        _xlpm.uniqueIDs, _xlfn.UNIQUE(_xlpm.filteredCRPartyIDs),
        ROWS(_xlpm.uniqueIDs)
    ),
    0
)</f>
        <v>0</v>
      </c>
      <c r="F4" s="205" cm="1">
        <f t="array" ref="F4">IFERROR(
    _xlfn.LET(
        _xlpm.criteriaTrack, B4,
        _xlpm.criteriaSubTrack, C4,
        _xlpm.criteriaStage, "Eligible",
        _xlpm.criteriaOfferOptedIn, FALSE,
        _xlpm.combinedCondition, (Data[Track]=_xlpm.criteriaTrack) *
                           (Data[Sub-Track]=_xlpm.criteriaSubTrack) *
                           (Data[Stage]=_xlpm.criteriaStage) *
                           (Data[Offer opted-in?]=_xlpm.criteriaOfferOptedIn),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Data[Stage], _xlpm.criteriaStage,
                                Data[Offer opted-in?], _xlpm.criteriaOfferOptedIn
                            )
                        )
                    )
                )
            )
        )
    ),
    0
)</f>
        <v>0</v>
      </c>
      <c r="G4" s="206" cm="1">
        <f t="array" ref="G4">IFERROR(
    _xlfn.LET(
        _xlpm.combinedCondition, (Data[Sub-Track]=C4) *
                           (Data[UC 25-50% eligible w/o opt-in]=TRUE),
        _xlpm.filteredCRPartyIDs, _xlfn._xlws.FILTER(Data[CR Party ID], _xlpm.combinedCondition),
        _xlpm.uniqueIDs, _xlfn.UNIQUE(_xlpm.filteredCRPartyIDs),
        ROWS(_xlpm.uniqueIDs)
    ),
    0
)</f>
        <v>0</v>
      </c>
      <c r="H4" s="207" cm="1">
        <f t="array" ref="H4">IFERROR(
    _xlfn.LET(
        _xlpm.criteriaTrack, B4,
        _xlpm.criteriaSubTrack, C4,
        _xlpm.criteriaUCCondition, TRUE,
        _xlpm.combinedCondition, (Data[Track]=_xlpm.criteriaTrack) *
                           (Data[Sub-Track]=_xlpm.criteriaSubTrack) *
                           (Data[UC 25-50%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Data[UC 25-50% eligible w/o opt-in], _xlpm.criteriaUCCondition
                            )
                        )
                    )
                )
            )
        )
    ),
    0
)</f>
        <v>0</v>
      </c>
      <c r="I4" s="208" cm="1">
        <f t="array" ref="I4">IFERROR(
    _xlfn.LET(
        _xlpm.combinedCondition, (Data[Sub-Track]=C4) *
                           (Data[UC 75% eligible w/o opt-in]=TRUE),
        _xlpm.filteredCRPartyIDs, _xlfn._xlws.FILTER(Data[CR Party ID], _xlpm.combinedCondition),
        _xlpm.uniqueIDs, _xlfn.UNIQUE(_xlpm.filteredCRPartyIDs),
        ROWS(_xlpm.uniqueIDs)
    ),
    0
)</f>
        <v>0</v>
      </c>
      <c r="J4" s="209" cm="1">
        <f t="array" ref="J4">IFERROR(
    _xlfn.LET(
        _xlpm.criteriaTrack, B4,
        _xlpm.criteriaSubTrack, C4,
        _xlpm.criteriaUCCondition, TRUE,
        _xlpm.combinedCondition, (Data[Track]=_xlpm.criteriaTrack) *
                           (Data[Sub-Track]=_xlpm.criteriaSubTrack) *
                           (Data[UC 75%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Data[Missed Incentives],
                                Data[CRPartyID-Offer], _xlpm.currentPair,
                                Data[Track], _xlpm.criteriaTrack,
                                Data[Sub-Track], _xlpm.criteriaSubTrack,
                                Data[UC 75% eligible w/o opt-in], _xlpm.criteriaUCCondition
                            )
                        )
                    )
                )
            )
        )
    ),
    0
)</f>
        <v>0</v>
      </c>
      <c r="K4" s="209" cm="1">
        <f t="array" ref="K4">IFERROR(
    _xlfn.LET(
        _xlpm.criteriaTrack, B4,
        _xlpm.criteriaSubTrack, C4,
        _xlpm.criteriaUCCondition, TRUE,
        _xlpm.combinedCondition, (Data[Track]=_xlpm.criteriaTrack) *
                           (Data[Sub-Track]=_xlpm.criteriaSubTrack) *
                           (Data[UC 75%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Data[UC 75% eligible w/o opt-in], _xlpm.criteriaUCCondition
                            )
                        )
                    )
                )
            )
        )
    ),
    0
)</f>
        <v>0</v>
      </c>
      <c r="L4" s="210" cm="1">
        <f t="array" ref="L4">IFERROR(
    _xlfn.LET(
        _xlpm.combinedCondition, (Data[Sub-Track]=C4) *
                           (Data[UC progressed and missed w/o opt-in]=TRUE),
        _xlpm.filteredCRPartyIDs, _xlfn._xlws.FILTER(Data[CR Party ID], _xlpm.combinedCondition),
        _xlpm.uniqueIDs, _xlfn.UNIQUE(_xlpm.filteredCRPartyIDs),
        ROWS(_xlpm.uniqueIDs)
    ),
    0
)</f>
        <v>0</v>
      </c>
      <c r="M4" s="211" cm="1">
        <f t="array" ref="M4">IFERROR(
    _xlfn.LET(
        _xlpm.criteriaTrack, B4,
        _xlpm.criteriaSubTrack, C4,
        _xlpm.criteriaUCCondition, TRUE,
        _xlpm.combinedCondition, (Data[Track]=_xlpm.criteriaTrack) *
                           (Data[Sub-Track]=_xlpm.criteriaSubTrack) *
                           (Data[UC progressed and missed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Data[Missed Incentives],
                                Data[CRPartyID-Offer], _xlpm.currentPair,
                                Data[Track], _xlpm.criteriaTrack,
                                Data[Sub-Track], _xlpm.criteriaSubTrack,
                                Data[UC progressed and missed w/o opt-in], _xlpm.criteriaUCCondition
                            )
                        )
                    )
                )
            )
        )
    ),
    0
)</f>
        <v>0</v>
      </c>
      <c r="N4" s="201" cm="1">
        <f t="array" ref="N4">_xlfn.LET(
    _xlpm.combinedCondition, (Data[Sub-Track]=C4) *
                       (Data[Adopt Rebate Opt-In Status]="Opted in") *
                       (Data[Stage]="Eligible"),
    SUM(_xlpm.combinedCondition)
)</f>
        <v>0</v>
      </c>
      <c r="O4" s="202" cm="1">
        <f t="array" ref="O4">IFERROR(
    _xlfn.LET(
        _xlpm.combinedCondition, (Data[Sub-Track]=C4) *
                           (Data[Adopt Rebate Opt-In Status]="Opted in") *
                           (Data[Stage]="Eligible"),
        _xlpm.filteredIncentives, _xlfn._xlws.FILTER(Data[Potential Incentives], _xlpm.combinedCondition),
        SUM(_xlpm.filteredIncentives)
    ),
    0
)</f>
        <v>0</v>
      </c>
      <c r="P4" s="201" cm="1">
        <f t="array" ref="P4">IFERROR(
    _xlfn.LET(
        _xlpm.combinedCondition, (Data[Sub-Track]=C4) *
                           (Data[Earned?]=TRUE),
        SUM(_xlpm.combinedCondition)
    ),
    0
)</f>
        <v>0</v>
      </c>
      <c r="Q4" s="212" cm="1">
        <f t="array" ref="Q4">IFERROR(
    _xlfn.LET(
        _xlpm.combinedCondition, (Data[Sub-Track]=C4),
        _xlpm.filteredIncentives, _xlfn._xlws.FILTER(Data[Estimated Earned Incentives], _xlpm.combinedCondition),
        IF(ROWS(_xlpm.filteredIncentives)=0, 0, SUM(_xlpm.filteredIncentives))
    ),
    0
)</f>
        <v>0</v>
      </c>
    </row>
    <row r="5" spans="1:17" x14ac:dyDescent="0.4">
      <c r="A5" s="120" t="str">
        <v>Networking</v>
      </c>
      <c r="B5" t="str">
        <v>Catalyst Center</v>
      </c>
      <c r="C5" t="str">
        <v>Campus Network Programmability and Integrations</v>
      </c>
      <c r="D5" s="121" t="str">
        <v>Advanced</v>
      </c>
      <c r="E5" s="204" cm="1">
        <f t="array" ref="E5">IFERROR(
    _xlfn.LET(
        _xlpm.filteredCRPartyIDs, _xlfn._xlws.FILTER(
                                Data[CR Party ID],
                                (Data[Sub-Track]=C5) *
                                (Data[Offer opted-in?]=FALSE) *
                                (Data[Stage]="Eligible")
                            ),
        _xlpm.uniqueIDs, _xlfn.UNIQUE(_xlpm.filteredCRPartyIDs),
        ROWS(_xlpm.uniqueIDs)
    ),
    0
)</f>
        <v>0</v>
      </c>
      <c r="F5" s="205" cm="1">
        <f t="array" ref="F5">IFERROR(
    _xlfn.LET(
        _xlpm.criteriaTrack, B5,
        _xlpm.criteriaSubTrack, C5,
        _xlpm.criteriaStage, "Eligible",
        _xlpm.criteriaOfferOptedIn, FALSE,
        _xlpm.combinedCondition, (Data[Track]=_xlpm.criteriaTrack) *
                           (Data[Sub-Track]=_xlpm.criteriaSubTrack) *
                           (Data[Stage]=_xlpm.criteriaStage) *
                           (Data[Offer opted-in?]=_xlpm.criteriaOfferOptedIn),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Data[Stage], _xlpm.criteriaStage,
                                Data[Offer opted-in?], _xlpm.criteriaOfferOptedIn
                            )
                        )
                    )
                )
            )
        )
    ),
    0
)</f>
        <v>0</v>
      </c>
      <c r="G5" s="206" cm="1">
        <f t="array" ref="G5">IFERROR(
    _xlfn.LET(
        _xlpm.combinedCondition, (Data[Sub-Track]=C5) *
                           (Data[UC 25-50% eligible w/o opt-in]=TRUE),
        _xlpm.filteredCRPartyIDs, _xlfn._xlws.FILTER(Data[CR Party ID], _xlpm.combinedCondition),
        _xlpm.uniqueIDs, _xlfn.UNIQUE(_xlpm.filteredCRPartyIDs),
        ROWS(_xlpm.uniqueIDs)
    ),
    0
)</f>
        <v>0</v>
      </c>
      <c r="H5" s="207" cm="1">
        <f t="array" ref="H5">IFERROR(
    _xlfn.LET(
        _xlpm.criteriaTrack, B5,
        _xlpm.criteriaSubTrack, C5,
        _xlpm.criteriaUCCondition, TRUE,
        _xlpm.combinedCondition, (Data[Track]=_xlpm.criteriaTrack) *
                           (Data[Sub-Track]=_xlpm.criteriaSubTrack) *
                           (Data[UC 25-50%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Data[UC 25-50% eligible w/o opt-in], _xlpm.criteriaUCCondition
                            )
                        )
                    )
                )
            )
        )
    ),
    0
)</f>
        <v>0</v>
      </c>
      <c r="I5" s="208" cm="1">
        <f t="array" ref="I5">IFERROR(
    _xlfn.LET(
        _xlpm.combinedCondition, (Data[Sub-Track]=C5) *
                           (Data[UC 75% eligible w/o opt-in]=TRUE),
        _xlpm.filteredCRPartyIDs, _xlfn._xlws.FILTER(Data[CR Party ID], _xlpm.combinedCondition),
        _xlpm.uniqueIDs, _xlfn.UNIQUE(_xlpm.filteredCRPartyIDs),
        ROWS(_xlpm.uniqueIDs)
    ),
    0
)</f>
        <v>0</v>
      </c>
      <c r="J5" s="209" cm="1">
        <f t="array" ref="J5">IFERROR(
    _xlfn.LET(
        _xlpm.criteriaTrack, B5,
        _xlpm.criteriaSubTrack, C5,
        _xlpm.criteriaUCCondition, TRUE,
        _xlpm.combinedCondition, (Data[Track]=_xlpm.criteriaTrack) *
                           (Data[Sub-Track]=_xlpm.criteriaSubTrack) *
                           (Data[UC 75%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Data[Missed Incentives],
                                Data[CRPartyID-Offer], _xlpm.currentPair,
                                Data[Track], _xlpm.criteriaTrack,
                                Data[Sub-Track], _xlpm.criteriaSubTrack,
                                Data[UC 75% eligible w/o opt-in], _xlpm.criteriaUCCondition
                            )
                        )
                    )
                )
            )
        )
    ),
    0
)</f>
        <v>0</v>
      </c>
      <c r="K5" s="209" cm="1">
        <f t="array" ref="K5">IFERROR(
    _xlfn.LET(
        _xlpm.criteriaTrack, B5,
        _xlpm.criteriaSubTrack, C5,
        _xlpm.criteriaUCCondition, TRUE,
        _xlpm.combinedCondition, (Data[Track]=_xlpm.criteriaTrack) *
                           (Data[Sub-Track]=_xlpm.criteriaSubTrack) *
                           (Data[UC 75%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Data[UC 75% eligible w/o opt-in], _xlpm.criteriaUCCondition
                            )
                        )
                    )
                )
            )
        )
    ),
    0
)</f>
        <v>0</v>
      </c>
      <c r="L5" s="210" cm="1">
        <f t="array" ref="L5">IFERROR(
    _xlfn.LET(
        _xlpm.combinedCondition, (Data[Sub-Track]=C5) *
                           (Data[UC progressed and missed w/o opt-in]=TRUE),
        _xlpm.filteredCRPartyIDs, _xlfn._xlws.FILTER(Data[CR Party ID], _xlpm.combinedCondition),
        _xlpm.uniqueIDs, _xlfn.UNIQUE(_xlpm.filteredCRPartyIDs),
        ROWS(_xlpm.uniqueIDs)
    ),
    0
)</f>
        <v>0</v>
      </c>
      <c r="M5" s="211" cm="1">
        <f t="array" ref="M5">IFERROR(
    _xlfn.LET(
        _xlpm.criteriaTrack, B5,
        _xlpm.criteriaSubTrack, C5,
        _xlpm.criteriaUCCondition, TRUE,
        _xlpm.combinedCondition, (Data[Track]=_xlpm.criteriaTrack) *
                           (Data[Sub-Track]=_xlpm.criteriaSubTrack) *
                           (Data[UC progressed and missed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Data[Missed Incentives],
                                Data[CRPartyID-Offer], _xlpm.currentPair,
                                Data[Track], _xlpm.criteriaTrack,
                                Data[Sub-Track], _xlpm.criteriaSubTrack,
                                Data[UC progressed and missed w/o opt-in], _xlpm.criteriaUCCondition
                            )
                        )
                    )
                )
            )
        )
    ),
    0
)</f>
        <v>0</v>
      </c>
      <c r="N5" s="201" cm="1">
        <f t="array" ref="N5">_xlfn.LET(
    _xlpm.combinedCondition, (Data[Sub-Track]=C5) *
                       (Data[Adopt Rebate Opt-In Status]="Opted in") *
                       (Data[Stage]="Eligible"),
    SUM(_xlpm.combinedCondition)
)</f>
        <v>0</v>
      </c>
      <c r="O5" s="202" cm="1">
        <f t="array" ref="O5">IFERROR(
    _xlfn.LET(
        _xlpm.combinedCondition, (Data[Sub-Track]=C5) *
                           (Data[Adopt Rebate Opt-In Status]="Opted in") *
                           (Data[Stage]="Eligible"),
        _xlpm.filteredIncentives, _xlfn._xlws.FILTER(Data[Potential Incentives], _xlpm.combinedCondition),
        SUM(_xlpm.filteredIncentives)
    ),
    0
)</f>
        <v>0</v>
      </c>
      <c r="P5" s="201" cm="1">
        <f t="array" ref="P5">IFERROR(
    _xlfn.LET(
        _xlpm.combinedCondition, (Data[Sub-Track]=C5) *
                           (Data[Earned?]=TRUE),
        SUM(_xlpm.combinedCondition)
    ),
    0
)</f>
        <v>0</v>
      </c>
      <c r="Q5" s="212" cm="1">
        <f t="array" ref="Q5">IFERROR(
    _xlfn.LET(
        _xlpm.combinedCondition, (Data[Sub-Track]=C5),
        _xlpm.filteredIncentives, _xlfn._xlws.FILTER(Data[Estimated Earned Incentives], _xlpm.combinedCondition),
        IF(ROWS(_xlpm.filteredIncentives)=0, 0, SUM(_xlpm.filteredIncentives))
    ),
    0
)</f>
        <v>0</v>
      </c>
    </row>
    <row r="6" spans="1:17" x14ac:dyDescent="0.4">
      <c r="A6" s="120" t="str">
        <v>Networking</v>
      </c>
      <c r="B6" t="str">
        <v>Catalyst Center</v>
      </c>
      <c r="C6" t="str">
        <v>Campus Network Segmentation</v>
      </c>
      <c r="D6" s="121" t="str">
        <v>Advanced</v>
      </c>
      <c r="E6" s="204" cm="1">
        <f t="array" ref="E6">IFERROR(
    _xlfn.LET(
        _xlpm.filteredCRPartyIDs, _xlfn._xlws.FILTER(
                                Data[CR Party ID],
                                (Data[Sub-Track]=C6) *
                                (Data[Offer opted-in?]=FALSE) *
                                (Data[Stage]="Eligible")
                            ),
        _xlpm.uniqueIDs, _xlfn.UNIQUE(_xlpm.filteredCRPartyIDs),
        ROWS(_xlpm.uniqueIDs)
    ),
    0
)</f>
        <v>0</v>
      </c>
      <c r="F6" s="205" cm="1">
        <f t="array" ref="F6">IFERROR(
    _xlfn.LET(
        _xlpm.criteriaTrack, B6,
        _xlpm.criteriaSubTrack, C6,
        _xlpm.criteriaStage, "Eligible",
        _xlpm.criteriaOfferOptedIn, FALSE,
        _xlpm.combinedCondition, (Data[Track]=_xlpm.criteriaTrack) *
                           (Data[Sub-Track]=_xlpm.criteriaSubTrack) *
                           (Data[Stage]=_xlpm.criteriaStage) *
                           (Data[Offer opted-in?]=_xlpm.criteriaOfferOptedIn),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Data[Stage], _xlpm.criteriaStage,
                                Data[Offer opted-in?], _xlpm.criteriaOfferOptedIn
                            )
                        )
                    )
                )
            )
        )
    ),
    0
)</f>
        <v>0</v>
      </c>
      <c r="G6" s="206" cm="1">
        <f t="array" ref="G6">IFERROR(
    _xlfn.LET(
        _xlpm.combinedCondition, (Data[Sub-Track]=C6) *
                           (Data[UC 25-50% eligible w/o opt-in]=TRUE),
        _xlpm.filteredCRPartyIDs, _xlfn._xlws.FILTER(Data[CR Party ID], _xlpm.combinedCondition),
        _xlpm.uniqueIDs, _xlfn.UNIQUE(_xlpm.filteredCRPartyIDs),
        ROWS(_xlpm.uniqueIDs)
    ),
    0
)</f>
        <v>0</v>
      </c>
      <c r="H6" s="207" cm="1">
        <f t="array" ref="H6">IFERROR(
    _xlfn.LET(
        _xlpm.criteriaTrack, B6,
        _xlpm.criteriaSubTrack, C6,
        _xlpm.criteriaUCCondition, TRUE,
        _xlpm.combinedCondition, (Data[Track]=_xlpm.criteriaTrack) *
                           (Data[Sub-Track]=_xlpm.criteriaSubTrack) *
                           (Data[UC 25-50%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Data[UC 25-50% eligible w/o opt-in], _xlpm.criteriaUCCondition
                            )
                        )
                    )
                )
            )
        )
    ),
    0
)</f>
        <v>0</v>
      </c>
      <c r="I6" s="208" cm="1">
        <f t="array" ref="I6">IFERROR(
    _xlfn.LET(
        _xlpm.combinedCondition, (Data[Sub-Track]=C6) *
                           (Data[UC 75% eligible w/o opt-in]=TRUE),
        _xlpm.filteredCRPartyIDs, _xlfn._xlws.FILTER(Data[CR Party ID], _xlpm.combinedCondition),
        _xlpm.uniqueIDs, _xlfn.UNIQUE(_xlpm.filteredCRPartyIDs),
        ROWS(_xlpm.uniqueIDs)
    ),
    0
)</f>
        <v>0</v>
      </c>
      <c r="J6" s="209" cm="1">
        <f t="array" ref="J6">IFERROR(
    _xlfn.LET(
        _xlpm.criteriaTrack, B6,
        _xlpm.criteriaSubTrack, C6,
        _xlpm.criteriaUCCondition, TRUE,
        _xlpm.combinedCondition, (Data[Track]=_xlpm.criteriaTrack) *
                           (Data[Sub-Track]=_xlpm.criteriaSubTrack) *
                           (Data[UC 75%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Data[Missed Incentives],
                                Data[CRPartyID-Offer], _xlpm.currentPair,
                                Data[Track], _xlpm.criteriaTrack,
                                Data[Sub-Track], _xlpm.criteriaSubTrack,
                                Data[UC 75% eligible w/o opt-in], _xlpm.criteriaUCCondition
                            )
                        )
                    )
                )
            )
        )
    ),
    0
)</f>
        <v>0</v>
      </c>
      <c r="K6" s="209" cm="1">
        <f t="array" ref="K6">IFERROR(
    _xlfn.LET(
        _xlpm.criteriaTrack, B6,
        _xlpm.criteriaSubTrack, C6,
        _xlpm.criteriaUCCondition, TRUE,
        _xlpm.combinedCondition, (Data[Track]=_xlpm.criteriaTrack) *
                           (Data[Sub-Track]=_xlpm.criteriaSubTrack) *
                           (Data[UC 75%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Data[UC 75% eligible w/o opt-in], _xlpm.criteriaUCCondition
                            )
                        )
                    )
                )
            )
        )
    ),
    0
)</f>
        <v>0</v>
      </c>
      <c r="L6" s="210" cm="1">
        <f t="array" ref="L6">IFERROR(
    _xlfn.LET(
        _xlpm.combinedCondition, (Data[Sub-Track]=C6) *
                           (Data[UC progressed and missed w/o opt-in]=TRUE),
        _xlpm.filteredCRPartyIDs, _xlfn._xlws.FILTER(Data[CR Party ID], _xlpm.combinedCondition),
        _xlpm.uniqueIDs, _xlfn.UNIQUE(_xlpm.filteredCRPartyIDs),
        ROWS(_xlpm.uniqueIDs)
    ),
    0
)</f>
        <v>0</v>
      </c>
      <c r="M6" s="211" cm="1">
        <f t="array" ref="M6">IFERROR(
    _xlfn.LET(
        _xlpm.criteriaTrack, B6,
        _xlpm.criteriaSubTrack, C6,
        _xlpm.criteriaUCCondition, TRUE,
        _xlpm.combinedCondition, (Data[Track]=_xlpm.criteriaTrack) *
                           (Data[Sub-Track]=_xlpm.criteriaSubTrack) *
                           (Data[UC progressed and missed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Data[Missed Incentives],
                                Data[CRPartyID-Offer], _xlpm.currentPair,
                                Data[Track], _xlpm.criteriaTrack,
                                Data[Sub-Track], _xlpm.criteriaSubTrack,
                                Data[UC progressed and missed w/o opt-in], _xlpm.criteriaUCCondition
                            )
                        )
                    )
                )
            )
        )
    ),
    0
)</f>
        <v>0</v>
      </c>
      <c r="N6" s="201" cm="1">
        <f t="array" ref="N6">_xlfn.LET(
    _xlpm.combinedCondition, (Data[Sub-Track]=C6) *
                       (Data[Adopt Rebate Opt-In Status]="Opted in") *
                       (Data[Stage]="Eligible"),
    SUM(_xlpm.combinedCondition)
)</f>
        <v>0</v>
      </c>
      <c r="O6" s="202" cm="1">
        <f t="array" ref="O6">IFERROR(
    _xlfn.LET(
        _xlpm.combinedCondition, (Data[Sub-Track]=C6) *
                           (Data[Adopt Rebate Opt-In Status]="Opted in") *
                           (Data[Stage]="Eligible"),
        _xlpm.filteredIncentives, _xlfn._xlws.FILTER(Data[Potential Incentives], _xlpm.combinedCondition),
        SUM(_xlpm.filteredIncentives)
    ),
    0
)</f>
        <v>0</v>
      </c>
      <c r="P6" s="201" cm="1">
        <f t="array" ref="P6">IFERROR(
    _xlfn.LET(
        _xlpm.combinedCondition, (Data[Sub-Track]=C6) *
                           (Data[Earned?]=TRUE),
        SUM(_xlpm.combinedCondition)
    ),
    0
)</f>
        <v>0</v>
      </c>
      <c r="Q6" s="212" cm="1">
        <f t="array" ref="Q6">IFERROR(
    _xlfn.LET(
        _xlpm.combinedCondition, (Data[Sub-Track]=C6),
        _xlpm.filteredIncentives, _xlfn._xlws.FILTER(Data[Estimated Earned Incentives], _xlpm.combinedCondition),
        IF(ROWS(_xlpm.filteredIncentives)=0, 0, SUM(_xlpm.filteredIncentives))
    ),
    0
)</f>
        <v>0</v>
      </c>
    </row>
    <row r="7" spans="1:17" x14ac:dyDescent="0.4">
      <c r="A7" s="120" t="str">
        <v>Networking</v>
      </c>
      <c r="B7" t="str">
        <v>Catalyst Center</v>
      </c>
      <c r="C7" t="str">
        <v>Campus Network Visibility</v>
      </c>
      <c r="D7" s="121" t="str">
        <v>Standard</v>
      </c>
      <c r="E7" s="204" cm="1">
        <f t="array" ref="E7">IFERROR(
    _xlfn.LET(
        _xlpm.filteredCRPartyIDs, _xlfn._xlws.FILTER(
                                Data[CR Party ID],
                                (Data[Sub-Track]=C7) *
                                (Data[Offer opted-in?]=FALSE) *
                                (Data[Stage]="Eligible")
                            ),
        _xlpm.uniqueIDs, _xlfn.UNIQUE(_xlpm.filteredCRPartyIDs),
        ROWS(_xlpm.uniqueIDs)
    ),
    0
)</f>
        <v>0</v>
      </c>
      <c r="F7" s="205" cm="1">
        <f t="array" ref="F7">IFERROR(
    _xlfn.LET(
        _xlpm.criteriaTrack, B7,
        _xlpm.criteriaSubTrack, C7,
        _xlpm.criteriaStage, "Eligible",
        _xlpm.criteriaOfferOptedIn, FALSE,
        _xlpm.combinedCondition, (Data[Track]=_xlpm.criteriaTrack) *
                           (Data[Sub-Track]=_xlpm.criteriaSubTrack) *
                           (Data[Stage]=_xlpm.criteriaStage) *
                           (Data[Offer opted-in?]=_xlpm.criteriaOfferOptedIn),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Data[Stage], _xlpm.criteriaStage,
                                Data[Offer opted-in?], _xlpm.criteriaOfferOptedIn
                            )
                        )
                    )
                )
            )
        )
    ),
    0
)</f>
        <v>0</v>
      </c>
      <c r="G7" s="206" cm="1">
        <f t="array" ref="G7">IFERROR(
    _xlfn.LET(
        _xlpm.combinedCondition, (Data[Sub-Track]=C7) *
                           (Data[UC 25-50% eligible w/o opt-in]=TRUE),
        _xlpm.filteredCRPartyIDs, _xlfn._xlws.FILTER(Data[CR Party ID], _xlpm.combinedCondition),
        _xlpm.uniqueIDs, _xlfn.UNIQUE(_xlpm.filteredCRPartyIDs),
        ROWS(_xlpm.uniqueIDs)
    ),
    0
)</f>
        <v>0</v>
      </c>
      <c r="H7" s="207" cm="1">
        <f t="array" ref="H7">IFERROR(
    _xlfn.LET(
        _xlpm.criteriaTrack, B7,
        _xlpm.criteriaSubTrack, C7,
        _xlpm.criteriaUCCondition, TRUE,
        _xlpm.combinedCondition, (Data[Track]=_xlpm.criteriaTrack) *
                           (Data[Sub-Track]=_xlpm.criteriaSubTrack) *
                           (Data[UC 25-50%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Data[UC 25-50% eligible w/o opt-in], _xlpm.criteriaUCCondition
                            )
                        )
                    )
                )
            )
        )
    ),
    0
)</f>
        <v>0</v>
      </c>
      <c r="I7" s="208" cm="1">
        <f t="array" ref="I7">IFERROR(
    _xlfn.LET(
        _xlpm.combinedCondition, (Data[Sub-Track]=C7) *
                           (Data[UC 75% eligible w/o opt-in]=TRUE),
        _xlpm.filteredCRPartyIDs, _xlfn._xlws.FILTER(Data[CR Party ID], _xlpm.combinedCondition),
        _xlpm.uniqueIDs, _xlfn.UNIQUE(_xlpm.filteredCRPartyIDs),
        ROWS(_xlpm.uniqueIDs)
    ),
    0
)</f>
        <v>0</v>
      </c>
      <c r="J7" s="209" cm="1">
        <f t="array" ref="J7">IFERROR(
    _xlfn.LET(
        _xlpm.criteriaTrack, B7,
        _xlpm.criteriaSubTrack, C7,
        _xlpm.criteriaUCCondition, TRUE,
        _xlpm.combinedCondition, (Data[Track]=_xlpm.criteriaTrack) *
                           (Data[Sub-Track]=_xlpm.criteriaSubTrack) *
                           (Data[UC 75%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Data[Missed Incentives],
                                Data[CRPartyID-Offer], _xlpm.currentPair,
                                Data[Track], _xlpm.criteriaTrack,
                                Data[Sub-Track], _xlpm.criteriaSubTrack,
                                Data[UC 75% eligible w/o opt-in], _xlpm.criteriaUCCondition
                            )
                        )
                    )
                )
            )
        )
    ),
    0
)</f>
        <v>0</v>
      </c>
      <c r="K7" s="209" cm="1">
        <f t="array" ref="K7">IFERROR(
    _xlfn.LET(
        _xlpm.criteriaTrack, B7,
        _xlpm.criteriaSubTrack, C7,
        _xlpm.criteriaUCCondition, TRUE,
        _xlpm.combinedCondition, (Data[Track]=_xlpm.criteriaTrack) *
                           (Data[Sub-Track]=_xlpm.criteriaSubTrack) *
                           (Data[UC 75%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Data[UC 75% eligible w/o opt-in], _xlpm.criteriaUCCondition
                            )
                        )
                    )
                )
            )
        )
    ),
    0
)</f>
        <v>0</v>
      </c>
      <c r="L7" s="210" cm="1">
        <f t="array" ref="L7">IFERROR(
    _xlfn.LET(
        _xlpm.combinedCondition, (Data[Sub-Track]=C7) *
                           (Data[UC progressed and missed w/o opt-in]=TRUE),
        _xlpm.filteredCRPartyIDs, _xlfn._xlws.FILTER(Data[CR Party ID], _xlpm.combinedCondition),
        _xlpm.uniqueIDs, _xlfn.UNIQUE(_xlpm.filteredCRPartyIDs),
        ROWS(_xlpm.uniqueIDs)
    ),
    0
)</f>
        <v>0</v>
      </c>
      <c r="M7" s="211" cm="1">
        <f t="array" ref="M7">IFERROR(
    _xlfn.LET(
        _xlpm.criteriaTrack, B7,
        _xlpm.criteriaSubTrack, C7,
        _xlpm.criteriaUCCondition, TRUE,
        _xlpm.combinedCondition, (Data[Track]=_xlpm.criteriaTrack) *
                           (Data[Sub-Track]=_xlpm.criteriaSubTrack) *
                           (Data[UC progressed and missed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Data[Missed Incentives],
                                Data[CRPartyID-Offer], _xlpm.currentPair,
                                Data[Track], _xlpm.criteriaTrack,
                                Data[Sub-Track], _xlpm.criteriaSubTrack,
                                Data[UC progressed and missed w/o opt-in], _xlpm.criteriaUCCondition
                            )
                        )
                    )
                )
            )
        )
    ),
    0
)</f>
        <v>0</v>
      </c>
      <c r="N7" s="201" cm="1">
        <f t="array" ref="N7">_xlfn.LET(
    _xlpm.combinedCondition, (Data[Sub-Track]=C7) *
                       (Data[Adopt Rebate Opt-In Status]="Opted in") *
                       (Data[Stage]="Eligible"),
    SUM(_xlpm.combinedCondition)
)</f>
        <v>0</v>
      </c>
      <c r="O7" s="202" cm="1">
        <f t="array" ref="O7">IFERROR(
    _xlfn.LET(
        _xlpm.combinedCondition, (Data[Sub-Track]=C7) *
                           (Data[Adopt Rebate Opt-In Status]="Opted in") *
                           (Data[Stage]="Eligible"),
        _xlpm.filteredIncentives, _xlfn._xlws.FILTER(Data[Potential Incentives], _xlpm.combinedCondition),
        SUM(_xlpm.filteredIncentives)
    ),
    0
)</f>
        <v>0</v>
      </c>
      <c r="P7" s="201" cm="1">
        <f t="array" ref="P7">IFERROR(
    _xlfn.LET(
        _xlpm.combinedCondition, (Data[Sub-Track]=C7) *
                           (Data[Earned?]=TRUE),
        SUM(_xlpm.combinedCondition)
    ),
    0
)</f>
        <v>0</v>
      </c>
      <c r="Q7" s="212" cm="1">
        <f t="array" ref="Q7">IFERROR(
    _xlfn.LET(
        _xlpm.combinedCondition, (Data[Sub-Track]=C7),
        _xlpm.filteredIncentives, _xlfn._xlws.FILTER(Data[Estimated Earned Incentives], _xlpm.combinedCondition),
        IF(ROWS(_xlpm.filteredIncentives)=0, 0, SUM(_xlpm.filteredIncentives))
    ),
    0
)</f>
        <v>0</v>
      </c>
    </row>
    <row r="8" spans="1:17" x14ac:dyDescent="0.4">
      <c r="A8" s="120" t="str">
        <v>Networking</v>
      </c>
      <c r="B8" t="str">
        <v>Catalyst Center</v>
      </c>
      <c r="C8" t="str">
        <v>Cloud Monitoring for Catalyst</v>
      </c>
      <c r="D8" s="121" t="str">
        <v>Standard</v>
      </c>
      <c r="E8" s="204" cm="1">
        <f t="array" ref="E8">IFERROR(
    _xlfn.LET(
        _xlpm.filteredCRPartyIDs, _xlfn._xlws.FILTER(
                                Data[CR Party ID],
                                (Data[Sub-Track]=C8) *
                                (Data[Offer opted-in?]=FALSE) *
                                (Data[Stage]="Eligible")
                            ),
        _xlpm.uniqueIDs, _xlfn.UNIQUE(_xlpm.filteredCRPartyIDs),
        ROWS(_xlpm.uniqueIDs)
    ),
    0
)</f>
        <v>0</v>
      </c>
      <c r="F8" s="205" cm="1">
        <f t="array" ref="F8">IFERROR(
    _xlfn.LET(
        _xlpm.criteriaTrack, B8,
        _xlpm.criteriaSubTrack, C8,
        _xlpm.criteriaStage, "Eligible",
        _xlpm.criteriaOfferOptedIn, FALSE,
        _xlpm.combinedCondition, (Data[Track]=_xlpm.criteriaTrack) *
                           (Data[Sub-Track]=_xlpm.criteriaSubTrack) *
                           (Data[Stage]=_xlpm.criteriaStage) *
                           (Data[Offer opted-in?]=_xlpm.criteriaOfferOptedIn),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Data[Stage], _xlpm.criteriaStage,
                                Data[Offer opted-in?], _xlpm.criteriaOfferOptedIn
                            )
                        )
                    )
                )
            )
        )
    ),
    0
)</f>
        <v>0</v>
      </c>
      <c r="G8" s="206" cm="1">
        <f t="array" ref="G8">IFERROR(
    _xlfn.LET(
        _xlpm.combinedCondition, (Data[Sub-Track]=C8) *
                           (Data[UC 25-50% eligible w/o opt-in]=TRUE),
        _xlpm.filteredCRPartyIDs, _xlfn._xlws.FILTER(Data[CR Party ID], _xlpm.combinedCondition),
        _xlpm.uniqueIDs, _xlfn.UNIQUE(_xlpm.filteredCRPartyIDs),
        ROWS(_xlpm.uniqueIDs)
    ),
    0
)</f>
        <v>0</v>
      </c>
      <c r="H8" s="207" cm="1">
        <f t="array" ref="H8">IFERROR(
    _xlfn.LET(
        _xlpm.criteriaTrack, B8,
        _xlpm.criteriaSubTrack, C8,
        _xlpm.criteriaUCCondition, TRUE,
        _xlpm.combinedCondition, (Data[Track]=_xlpm.criteriaTrack) *
                           (Data[Sub-Track]=_xlpm.criteriaSubTrack) *
                           (Data[UC 25-50%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Data[UC 25-50% eligible w/o opt-in], _xlpm.criteriaUCCondition
                            )
                        )
                    )
                )
            )
        )
    ),
    0
)</f>
        <v>0</v>
      </c>
      <c r="I8" s="208" cm="1">
        <f t="array" ref="I8">IFERROR(
    _xlfn.LET(
        _xlpm.combinedCondition, (Data[Sub-Track]=C8) *
                           (Data[UC 75% eligible w/o opt-in]=TRUE),
        _xlpm.filteredCRPartyIDs, _xlfn._xlws.FILTER(Data[CR Party ID], _xlpm.combinedCondition),
        _xlpm.uniqueIDs, _xlfn.UNIQUE(_xlpm.filteredCRPartyIDs),
        ROWS(_xlpm.uniqueIDs)
    ),
    0
)</f>
        <v>0</v>
      </c>
      <c r="J8" s="209" cm="1">
        <f t="array" ref="J8">IFERROR(
    _xlfn.LET(
        _xlpm.criteriaTrack, B8,
        _xlpm.criteriaSubTrack, C8,
        _xlpm.criteriaUCCondition, TRUE,
        _xlpm.combinedCondition, (Data[Track]=_xlpm.criteriaTrack) *
                           (Data[Sub-Track]=_xlpm.criteriaSubTrack) *
                           (Data[UC 75%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Data[Missed Incentives],
                                Data[CRPartyID-Offer], _xlpm.currentPair,
                                Data[Track], _xlpm.criteriaTrack,
                                Data[Sub-Track], _xlpm.criteriaSubTrack,
                                Data[UC 75% eligible w/o opt-in], _xlpm.criteriaUCCondition
                            )
                        )
                    )
                )
            )
        )
    ),
    0
)</f>
        <v>0</v>
      </c>
      <c r="K8" s="209" cm="1">
        <f t="array" ref="K8">IFERROR(
    _xlfn.LET(
        _xlpm.criteriaTrack, B8,
        _xlpm.criteriaSubTrack, C8,
        _xlpm.criteriaUCCondition, TRUE,
        _xlpm.combinedCondition, (Data[Track]=_xlpm.criteriaTrack) *
                           (Data[Sub-Track]=_xlpm.criteriaSubTrack) *
                           (Data[UC 75%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Data[UC 75% eligible w/o opt-in], _xlpm.criteriaUCCondition
                            )
                        )
                    )
                )
            )
        )
    ),
    0
)</f>
        <v>0</v>
      </c>
      <c r="L8" s="210" cm="1">
        <f t="array" ref="L8">IFERROR(
    _xlfn.LET(
        _xlpm.combinedCondition, (Data[Sub-Track]=C8) *
                           (Data[UC progressed and missed w/o opt-in]=TRUE),
        _xlpm.filteredCRPartyIDs, _xlfn._xlws.FILTER(Data[CR Party ID], _xlpm.combinedCondition),
        _xlpm.uniqueIDs, _xlfn.UNIQUE(_xlpm.filteredCRPartyIDs),
        ROWS(_xlpm.uniqueIDs)
    ),
    0
)</f>
        <v>0</v>
      </c>
      <c r="M8" s="211" cm="1">
        <f t="array" ref="M8">IFERROR(
    _xlfn.LET(
        _xlpm.criteriaTrack, B8,
        _xlpm.criteriaSubTrack, C8,
        _xlpm.criteriaUCCondition, TRUE,
        _xlpm.combinedCondition, (Data[Track]=_xlpm.criteriaTrack) *
                           (Data[Sub-Track]=_xlpm.criteriaSubTrack) *
                           (Data[UC progressed and missed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Data[Missed Incentives],
                                Data[CRPartyID-Offer], _xlpm.currentPair,
                                Data[Track], _xlpm.criteriaTrack,
                                Data[Sub-Track], _xlpm.criteriaSubTrack,
                                Data[UC progressed and missed w/o opt-in], _xlpm.criteriaUCCondition
                            )
                        )
                    )
                )
            )
        )
    ),
    0
)</f>
        <v>0</v>
      </c>
      <c r="N8" s="201" cm="1">
        <f t="array" ref="N8">_xlfn.LET(
    _xlpm.combinedCondition, (Data[Sub-Track]=C8) *
                       (Data[Adopt Rebate Opt-In Status]="Opted in") *
                       (Data[Stage]="Eligible"),
    SUM(_xlpm.combinedCondition)
)</f>
        <v>0</v>
      </c>
      <c r="O8" s="202" cm="1">
        <f t="array" ref="O8">IFERROR(
    _xlfn.LET(
        _xlpm.combinedCondition, (Data[Sub-Track]=C8) *
                           (Data[Adopt Rebate Opt-In Status]="Opted in") *
                           (Data[Stage]="Eligible"),
        _xlpm.filteredIncentives, _xlfn._xlws.FILTER(Data[Potential Incentives], _xlpm.combinedCondition),
        SUM(_xlpm.filteredIncentives)
    ),
    0
)</f>
        <v>0</v>
      </c>
      <c r="P8" s="201" cm="1">
        <f t="array" ref="P8">IFERROR(
    _xlfn.LET(
        _xlpm.combinedCondition, (Data[Sub-Track]=C8) *
                           (Data[Earned?]=TRUE),
        SUM(_xlpm.combinedCondition)
    ),
    0
)</f>
        <v>0</v>
      </c>
      <c r="Q8" s="212" cm="1">
        <f t="array" ref="Q8">IFERROR(
    _xlfn.LET(
        _xlpm.combinedCondition, (Data[Sub-Track]=C8),
        _xlpm.filteredIncentives, _xlfn._xlws.FILTER(Data[Estimated Earned Incentives], _xlpm.combinedCondition),
        IF(ROWS(_xlpm.filteredIncentives)=0, 0, SUM(_xlpm.filteredIncentives))
    ),
    0
)</f>
        <v>0</v>
      </c>
    </row>
    <row r="9" spans="1:17" x14ac:dyDescent="0.4">
      <c r="A9" s="120" t="str">
        <v>Networking</v>
      </c>
      <c r="B9" t="str">
        <v>Catalyst Center</v>
      </c>
      <c r="C9" t="str">
        <v>Internet and Cloud Visibility</v>
      </c>
      <c r="D9" s="121" t="str">
        <v>Standard</v>
      </c>
      <c r="E9" s="204" cm="1">
        <f t="array" ref="E9">IFERROR(
    _xlfn.LET(
        _xlpm.filteredCRPartyIDs, _xlfn._xlws.FILTER(
                                Data[CR Party ID],
                                (Data[Sub-Track]=C9) *
                                (Data[Offer opted-in?]=FALSE) *
                                (Data[Stage]="Eligible")
                            ),
        _xlpm.uniqueIDs, _xlfn.UNIQUE(_xlpm.filteredCRPartyIDs),
        ROWS(_xlpm.uniqueIDs)
    ),
    0
)</f>
        <v>0</v>
      </c>
      <c r="F9" s="205" cm="1">
        <f t="array" ref="F9">IFERROR(
    _xlfn.LET(
        _xlpm.criteriaTrack, B9,
        _xlpm.criteriaSubTrack, C9,
        _xlpm.criteriaStage, "Eligible",
        _xlpm.criteriaOfferOptedIn, FALSE,
        _xlpm.combinedCondition, (Data[Track]=_xlpm.criteriaTrack) *
                           (Data[Sub-Track]=_xlpm.criteriaSubTrack) *
                           (Data[Stage]=_xlpm.criteriaStage) *
                           (Data[Offer opted-in?]=_xlpm.criteriaOfferOptedIn),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Data[Stage], _xlpm.criteriaStage,
                                Data[Offer opted-in?], _xlpm.criteriaOfferOptedIn
                            )
                        )
                    )
                )
            )
        )
    ),
    0
)</f>
        <v>0</v>
      </c>
      <c r="G9" s="206" cm="1">
        <f t="array" ref="G9">IFERROR(
    _xlfn.LET(
        _xlpm.combinedCondition, (Data[Sub-Track]=C9) *
                           (Data[UC 25-50% eligible w/o opt-in]=TRUE),
        _xlpm.filteredCRPartyIDs, _xlfn._xlws.FILTER(Data[CR Party ID], _xlpm.combinedCondition),
        _xlpm.uniqueIDs, _xlfn.UNIQUE(_xlpm.filteredCRPartyIDs),
        ROWS(_xlpm.uniqueIDs)
    ),
    0
)</f>
        <v>0</v>
      </c>
      <c r="H9" s="207" cm="1">
        <f t="array" ref="H9">IFERROR(
    _xlfn.LET(
        _xlpm.criteriaTrack, B9,
        _xlpm.criteriaSubTrack, C9,
        _xlpm.criteriaUCCondition, TRUE,
        _xlpm.combinedCondition, (Data[Track]=_xlpm.criteriaTrack) *
                           (Data[Sub-Track]=_xlpm.criteriaSubTrack) *
                           (Data[UC 25-50%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Data[UC 25-50% eligible w/o opt-in], _xlpm.criteriaUCCondition
                            )
                        )
                    )
                )
            )
        )
    ),
    0
)</f>
        <v>0</v>
      </c>
      <c r="I9" s="208" cm="1">
        <f t="array" ref="I9">IFERROR(
    _xlfn.LET(
        _xlpm.combinedCondition, (Data[Sub-Track]=C9) *
                           (Data[UC 75% eligible w/o opt-in]=TRUE),
        _xlpm.filteredCRPartyIDs, _xlfn._xlws.FILTER(Data[CR Party ID], _xlpm.combinedCondition),
        _xlpm.uniqueIDs, _xlfn.UNIQUE(_xlpm.filteredCRPartyIDs),
        ROWS(_xlpm.uniqueIDs)
    ),
    0
)</f>
        <v>0</v>
      </c>
      <c r="J9" s="209" cm="1">
        <f t="array" ref="J9">IFERROR(
    _xlfn.LET(
        _xlpm.criteriaTrack, B9,
        _xlpm.criteriaSubTrack, C9,
        _xlpm.criteriaUCCondition, TRUE,
        _xlpm.combinedCondition, (Data[Track]=_xlpm.criteriaTrack) *
                           (Data[Sub-Track]=_xlpm.criteriaSubTrack) *
                           (Data[UC 75%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Data[Missed Incentives],
                                Data[CRPartyID-Offer], _xlpm.currentPair,
                                Data[Track], _xlpm.criteriaTrack,
                                Data[Sub-Track], _xlpm.criteriaSubTrack,
                                Data[UC 75% eligible w/o opt-in], _xlpm.criteriaUCCondition
                            )
                        )
                    )
                )
            )
        )
    ),
    0
)</f>
        <v>0</v>
      </c>
      <c r="K9" s="209" cm="1">
        <f t="array" ref="K9">IFERROR(
    _xlfn.LET(
        _xlpm.criteriaTrack, B9,
        _xlpm.criteriaSubTrack, C9,
        _xlpm.criteriaUCCondition, TRUE,
        _xlpm.combinedCondition, (Data[Track]=_xlpm.criteriaTrack) *
                           (Data[Sub-Track]=_xlpm.criteriaSubTrack) *
                           (Data[UC 75%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Data[UC 75% eligible w/o opt-in], _xlpm.criteriaUCCondition
                            )
                        )
                    )
                )
            )
        )
    ),
    0
)</f>
        <v>0</v>
      </c>
      <c r="L9" s="210" cm="1">
        <f t="array" ref="L9">IFERROR(
    _xlfn.LET(
        _xlpm.combinedCondition, (Data[Sub-Track]=C9) *
                           (Data[UC progressed and missed w/o opt-in]=TRUE),
        _xlpm.filteredCRPartyIDs, _xlfn._xlws.FILTER(Data[CR Party ID], _xlpm.combinedCondition),
        _xlpm.uniqueIDs, _xlfn.UNIQUE(_xlpm.filteredCRPartyIDs),
        ROWS(_xlpm.uniqueIDs)
    ),
    0
)</f>
        <v>0</v>
      </c>
      <c r="M9" s="211" cm="1">
        <f t="array" ref="M9">IFERROR(
    _xlfn.LET(
        _xlpm.criteriaTrack, B9,
        _xlpm.criteriaSubTrack, C9,
        _xlpm.criteriaUCCondition, TRUE,
        _xlpm.combinedCondition, (Data[Track]=_xlpm.criteriaTrack) *
                           (Data[Sub-Track]=_xlpm.criteriaSubTrack) *
                           (Data[UC progressed and missed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Data[Missed Incentives],
                                Data[CRPartyID-Offer], _xlpm.currentPair,
                                Data[Track], _xlpm.criteriaTrack,
                                Data[Sub-Track], _xlpm.criteriaSubTrack,
                                Data[UC progressed and missed w/o opt-in], _xlpm.criteriaUCCondition
                            )
                        )
                    )
                )
            )
        )
    ),
    0
)</f>
        <v>0</v>
      </c>
      <c r="N9" s="201" cm="1">
        <f t="array" ref="N9">_xlfn.LET(
    _xlpm.combinedCondition, (Data[Sub-Track]=C9) *
                       (Data[Adopt Rebate Opt-In Status]="Opted in") *
                       (Data[Stage]="Eligible"),
    SUM(_xlpm.combinedCondition)
)</f>
        <v>0</v>
      </c>
      <c r="O9" s="202" cm="1">
        <f t="array" ref="O9">IFERROR(
    _xlfn.LET(
        _xlpm.combinedCondition, (Data[Sub-Track]=C9) *
                           (Data[Adopt Rebate Opt-In Status]="Opted in") *
                           (Data[Stage]="Eligible"),
        _xlpm.filteredIncentives, _xlfn._xlws.FILTER(Data[Potential Incentives], _xlpm.combinedCondition),
        SUM(_xlpm.filteredIncentives)
    ),
    0
)</f>
        <v>0</v>
      </c>
      <c r="P9" s="201" cm="1">
        <f t="array" ref="P9">IFERROR(
    _xlfn.LET(
        _xlpm.combinedCondition, (Data[Sub-Track]=C9) *
                           (Data[Earned?]=TRUE),
        SUM(_xlpm.combinedCondition)
    ),
    0
)</f>
        <v>0</v>
      </c>
      <c r="Q9" s="212" cm="1">
        <f t="array" ref="Q9">IFERROR(
    _xlfn.LET(
        _xlpm.combinedCondition, (Data[Sub-Track]=C9),
        _xlpm.filteredIncentives, _xlfn._xlws.FILTER(Data[Estimated Earned Incentives], _xlpm.combinedCondition),
        IF(ROWS(_xlpm.filteredIncentives)=0, 0, SUM(_xlpm.filteredIncentives))
    ),
    0
)</f>
        <v>0</v>
      </c>
    </row>
    <row r="10" spans="1:17" ht="15" thickBot="1" x14ac:dyDescent="0.45">
      <c r="A10" s="124" t="str">
        <v>Networking</v>
      </c>
      <c r="B10" s="5" t="str">
        <v>Catalyst Center</v>
      </c>
      <c r="C10" s="5" t="str">
        <v>Location Based Intelligence</v>
      </c>
      <c r="D10" s="125" t="str">
        <v>Advanced</v>
      </c>
      <c r="E10" s="213" cm="1">
        <f t="array" ref="E10">IFERROR(
    _xlfn.LET(
        _xlpm.filteredCRPartyIDs, _xlfn._xlws.FILTER(
                                Data[CR Party ID],
                                (Data[Sub-Track]=C10) *
                                (Data[Offer opted-in?]=FALSE) *
                                (Data[Stage]="Eligible")
                            ),
        _xlpm.uniqueIDs, _xlfn.UNIQUE(_xlpm.filteredCRPartyIDs),
        ROWS(_xlpm.uniqueIDs)
    ),
    0
)</f>
        <v>0</v>
      </c>
      <c r="F10" s="36" cm="1">
        <f t="array" ref="F10">IFERROR(
    _xlfn.LET(
        _xlpm.criteriaTrack, B10,
        _xlpm.criteriaSubTrack, C10,
        _xlpm.criteriaStage, "Eligible",
        _xlpm.criteriaOfferOptedIn, FALSE,
        _xlpm.combinedCondition, (Data[Track]=_xlpm.criteriaTrack) *
                           (Data[Sub-Track]=_xlpm.criteriaSubTrack) *
                           (Data[Stage]=_xlpm.criteriaStage) *
                           (Data[Offer opted-in?]=_xlpm.criteriaOfferOptedIn),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Data[Stage], _xlpm.criteriaStage,
                                Data[Offer opted-in?], _xlpm.criteriaOfferOptedIn
                            )
                        )
                    )
                )
            )
        )
    ),
    0
)</f>
        <v>0</v>
      </c>
      <c r="G10" s="23" cm="1">
        <f t="array" ref="G10">IFERROR(
    _xlfn.LET(
        _xlpm.combinedCondition, (Data[Sub-Track]=C10) *
                           (Data[UC 25-50% eligible w/o opt-in]=TRUE),
        _xlpm.filteredCRPartyIDs, _xlfn._xlws.FILTER(Data[CR Party ID], _xlpm.combinedCondition),
        _xlpm.uniqueIDs, _xlfn.UNIQUE(_xlpm.filteredCRPartyIDs),
        ROWS(_xlpm.uniqueIDs)
    ),
    0
)</f>
        <v>0</v>
      </c>
      <c r="H10" s="16" cm="1">
        <f t="array" ref="H10">IFERROR(
    _xlfn.LET(
        _xlpm.criteriaTrack, B10,
        _xlpm.criteriaSubTrack, C10,
        _xlpm.criteriaUCCondition, TRUE,
        _xlpm.combinedCondition, (Data[Track]=_xlpm.criteriaTrack) *
                           (Data[Sub-Track]=_xlpm.criteriaSubTrack) *
                           (Data[UC 25-50%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Data[UC 25-50% eligible w/o opt-in], _xlpm.criteriaUCCondition
                            )
                        )
                    )
                )
            )
        )
    ),
    0
)</f>
        <v>0</v>
      </c>
      <c r="I10" s="22" cm="1">
        <f t="array" ref="I10">IFERROR(
    _xlfn.LET(
        _xlpm.combinedCondition, (Data[Sub-Track]=C10) *
                           (Data[UC 75% eligible w/o opt-in]=TRUE),
        _xlpm.filteredCRPartyIDs, _xlfn._xlws.FILTER(Data[CR Party ID], _xlpm.combinedCondition),
        _xlpm.uniqueIDs, _xlfn.UNIQUE(_xlpm.filteredCRPartyIDs),
        ROWS(_xlpm.uniqueIDs)
    ),
    0
)</f>
        <v>0</v>
      </c>
      <c r="J10" s="12" cm="1">
        <f t="array" ref="J10">IFERROR(
    _xlfn.LET(
        _xlpm.criteriaTrack, B10,
        _xlpm.criteriaSubTrack, C10,
        _xlpm.criteriaUCCondition, TRUE,
        _xlpm.combinedCondition, (Data[Track]=_xlpm.criteriaTrack) *
                           (Data[Sub-Track]=_xlpm.criteriaSubTrack) *
                           (Data[UC 75%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Data[Missed Incentives],
                                Data[CRPartyID-Offer], _xlpm.currentPair,
                                Data[Track], _xlpm.criteriaTrack,
                                Data[Sub-Track], _xlpm.criteriaSubTrack,
                                Data[UC 75% eligible w/o opt-in], _xlpm.criteriaUCCondition
                            )
                        )
                    )
                )
            )
        )
    ),
    0
)</f>
        <v>0</v>
      </c>
      <c r="K10" s="12" cm="1">
        <f t="array" ref="K10">IFERROR(
    _xlfn.LET(
        _xlpm.criteriaTrack, B10,
        _xlpm.criteriaSubTrack, C10,
        _xlpm.criteriaUCCondition, TRUE,
        _xlpm.combinedCondition, (Data[Track]=_xlpm.criteriaTrack) *
                           (Data[Sub-Track]=_xlpm.criteriaSubTrack) *
                           (Data[UC 75%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Data[UC 75% eligible w/o opt-in], _xlpm.criteriaUCCondition
                            )
                        )
                    )
                )
            )
        )
    ),
    0
)</f>
        <v>0</v>
      </c>
      <c r="L10" s="43" cm="1">
        <f t="array" ref="L10">IFERROR(
    _xlfn.LET(
        _xlpm.combinedCondition, (Data[Sub-Track]=C10) *
                           (Data[UC progressed and missed w/o opt-in]=TRUE),
        _xlpm.filteredCRPartyIDs, _xlfn._xlws.FILTER(Data[CR Party ID], _xlpm.combinedCondition),
        _xlpm.uniqueIDs, _xlfn.UNIQUE(_xlpm.filteredCRPartyIDs),
        ROWS(_xlpm.uniqueIDs)
    ),
    0
)</f>
        <v>0</v>
      </c>
      <c r="M10" s="44" cm="1">
        <f t="array" ref="M10">IFERROR(
    _xlfn.LET(
        _xlpm.criteriaTrack, B10,
        _xlpm.criteriaSubTrack, C10,
        _xlpm.criteriaUCCondition, TRUE,
        _xlpm.combinedCondition, (Data[Track]=_xlpm.criteriaTrack) *
                           (Data[Sub-Track]=_xlpm.criteriaSubTrack) *
                           (Data[UC progressed and missed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Data[Missed Incentives],
                                Data[CRPartyID-Offer], _xlpm.currentPair,
                                Data[Track], _xlpm.criteriaTrack,
                                Data[Sub-Track], _xlpm.criteriaSubTrack,
                                Data[UC progressed and missed w/o opt-in], _xlpm.criteriaUCCondition
                            )
                        )
                    )
                )
            )
        )
    ),
    0
)</f>
        <v>0</v>
      </c>
      <c r="N10" s="24" cm="1">
        <f t="array" ref="N10">_xlfn.LET(
    _xlpm.combinedCondition, (Data[Sub-Track]=C10) *
                       (Data[Adopt Rebate Opt-In Status]="Opted in") *
                       (Data[Stage]="Eligible"),
    SUM(_xlpm.combinedCondition)
)</f>
        <v>0</v>
      </c>
      <c r="O10" s="48" cm="1">
        <f t="array" ref="O10">IFERROR(
    _xlfn.LET(
        _xlpm.combinedCondition, (Data[Sub-Track]=C10) *
                           (Data[Adopt Rebate Opt-In Status]="Opted in") *
                           (Data[Stage]="Eligible"),
        _xlpm.filteredIncentives, _xlfn._xlws.FILTER(Data[Potential Incentives], _xlpm.combinedCondition),
        SUM(_xlpm.filteredIncentives)
    ),
    0
)</f>
        <v>0</v>
      </c>
      <c r="P10" s="24" cm="1">
        <f t="array" ref="P10">IFERROR(
    _xlfn.LET(
        _xlpm.combinedCondition, (Data[Sub-Track]=C10) *
                           (Data[Earned?]=TRUE),
        SUM(_xlpm.combinedCondition)
    ),
    0
)</f>
        <v>0</v>
      </c>
      <c r="Q10" s="214" cm="1">
        <f t="array" ref="Q10">IFERROR(
    _xlfn.LET(
        _xlpm.combinedCondition, (Data[Sub-Track]=C10),
        _xlpm.filteredIncentives, _xlfn._xlws.FILTER(Data[Estimated Earned Incentives], _xlpm.combinedCondition),
        IF(ROWS(_xlpm.filteredIncentives)=0, 0, SUM(_xlpm.filteredIncentives))
    ),
    0
)</f>
        <v>0</v>
      </c>
    </row>
    <row r="11" spans="1:17" x14ac:dyDescent="0.4">
      <c r="A11" s="168" t="str">
        <v>Networking</v>
      </c>
      <c r="B11" s="4" t="str">
        <v>Meraki</v>
      </c>
      <c r="C11" s="4" t="str">
        <v>Foundational Networking and Security for Meraki</v>
      </c>
      <c r="D11" s="169" t="str">
        <v>Standard</v>
      </c>
      <c r="E11" s="200" cm="1">
        <f t="array" ref="E11">IFERROR(
    _xlfn.LET(
        _xlpm.filteredCRPartyIDs, _xlfn._xlws.FILTER(
                                Data[CR Party ID],
                                (Data[Sub-Track]=C11) *
                                (Data[Offer opted-in?]=FALSE) *
                                (Data[Stage]="Eligible")
                            ),
        _xlpm.uniqueIDs, _xlfn.UNIQUE(_xlpm.filteredCRPartyIDs),
        ROWS(_xlpm.uniqueIDs)
    ),
    0
)</f>
        <v>0</v>
      </c>
      <c r="F11" s="35" cm="1">
        <f t="array" ref="F11">IFERROR(
    _xlfn.LET(
        _xlpm.criteriaTrack, B11,
        _xlpm.criteriaSubTrack, C11,
        _xlpm.criteriaStage, "Eligible",
        _xlpm.criteriaOfferOptedIn, FALSE,
        _xlpm.combinedCondition, (Data[Track]=_xlpm.criteriaTrack) *
                           (Data[Sub-Track]=_xlpm.criteriaSubTrack) *
                           (Data[Stage]=_xlpm.criteriaStage) *
                           (Data[Offer opted-in?]=_xlpm.criteriaOfferOptedIn),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Data[Stage], _xlpm.criteriaStage,
                                Data[Offer opted-in?], _xlpm.criteriaOfferOptedIn
                            )
                        )
                    )
                )
            )
        )
    ),
    0
)</f>
        <v>0</v>
      </c>
      <c r="G11" s="20" cm="1">
        <f t="array" ref="G11">IFERROR(
    _xlfn.LET(
        _xlpm.combinedCondition, (Data[Sub-Track]=C11) *
                           (Data[UC 25-50% eligible w/o opt-in]=TRUE),
        _xlpm.filteredCRPartyIDs, _xlfn._xlws.FILTER(Data[CR Party ID], _xlpm.combinedCondition),
        _xlpm.uniqueIDs, _xlfn.UNIQUE(_xlpm.filteredCRPartyIDs),
        ROWS(_xlpm.uniqueIDs)
    ),
    0
)</f>
        <v>0</v>
      </c>
      <c r="H11" s="15" cm="1">
        <f t="array" ref="H11">IFERROR(
    _xlfn.LET(
        _xlpm.criteriaTrack, B11,
        _xlpm.criteriaSubTrack, C11,
        _xlpm.criteriaUCCondition, TRUE,
        _xlpm.combinedCondition, (Data[Track]=_xlpm.criteriaTrack) *
                           (Data[Sub-Track]=_xlpm.criteriaSubTrack) *
                           (Data[UC 25-50%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Data[UC 25-50% eligible w/o opt-in], _xlpm.criteriaUCCondition
                            )
                        )
                    )
                )
            )
        )
    ),
    0
)</f>
        <v>0</v>
      </c>
      <c r="I11" s="19" cm="1">
        <f t="array" ref="I11">IFERROR(
    _xlfn.LET(
        _xlpm.combinedCondition, (Data[Sub-Track]=C11) *
                           (Data[UC 75% eligible w/o opt-in]=TRUE),
        _xlpm.filteredCRPartyIDs, _xlfn._xlws.FILTER(Data[CR Party ID], _xlpm.combinedCondition),
        _xlpm.uniqueIDs, _xlfn.UNIQUE(_xlpm.filteredCRPartyIDs),
        ROWS(_xlpm.uniqueIDs)
    ),
    0
)</f>
        <v>0</v>
      </c>
      <c r="J11" s="11" cm="1">
        <f t="array" ref="J11">IFERROR(
    _xlfn.LET(
        _xlpm.criteriaTrack, B11,
        _xlpm.criteriaSubTrack, C11,
        _xlpm.criteriaUCCondition, TRUE,
        _xlpm.combinedCondition, (Data[Track]=_xlpm.criteriaTrack) *
                           (Data[Sub-Track]=_xlpm.criteriaSubTrack) *
                           (Data[UC 75%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Data[Missed Incentives],
                                Data[CRPartyID-Offer], _xlpm.currentPair,
                                Data[Track], _xlpm.criteriaTrack,
                                Data[Sub-Track], _xlpm.criteriaSubTrack,
                                Data[UC 75% eligible w/o opt-in], _xlpm.criteriaUCCondition
                            )
                        )
                    )
                )
            )
        )
    ),
    0
)</f>
        <v>0</v>
      </c>
      <c r="K11" s="11" cm="1">
        <f t="array" ref="K11">IFERROR(
    _xlfn.LET(
        _xlpm.criteriaTrack, B11,
        _xlpm.criteriaSubTrack, C11,
        _xlpm.criteriaUCCondition, TRUE,
        _xlpm.combinedCondition, (Data[Track]=_xlpm.criteriaTrack) *
                           (Data[Sub-Track]=_xlpm.criteriaSubTrack) *
                           (Data[UC 75%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Data[UC 75% eligible w/o opt-in], _xlpm.criteriaUCCondition
                            )
                        )
                    )
                )
            )
        )
    ),
    0
)</f>
        <v>0</v>
      </c>
      <c r="L11" s="41" cm="1">
        <f t="array" ref="L11">IFERROR(
    _xlfn.LET(
        _xlpm.combinedCondition, (Data[Sub-Track]=C11) *
                           (Data[UC progressed and missed w/o opt-in]=TRUE),
        _xlpm.filteredCRPartyIDs, _xlfn._xlws.FILTER(Data[CR Party ID], _xlpm.combinedCondition),
        _xlpm.uniqueIDs, _xlfn.UNIQUE(_xlpm.filteredCRPartyIDs),
        ROWS(_xlpm.uniqueIDs)
    ),
    0
)</f>
        <v>0</v>
      </c>
      <c r="M11" s="42" cm="1">
        <f t="array" ref="M11">IFERROR(
    _xlfn.LET(
        _xlpm.criteriaTrack, B11,
        _xlpm.criteriaSubTrack, C11,
        _xlpm.criteriaUCCondition, TRUE,
        _xlpm.combinedCondition, (Data[Track]=_xlpm.criteriaTrack) *
                           (Data[Sub-Track]=_xlpm.criteriaSubTrack) *
                           (Data[UC progressed and missed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Data[Missed Incentives],
                                Data[CRPartyID-Offer], _xlpm.currentPair,
                                Data[Track], _xlpm.criteriaTrack,
                                Data[Sub-Track], _xlpm.criteriaSubTrack,
                                Data[UC progressed and missed w/o opt-in], _xlpm.criteriaUCCondition
                            )
                        )
                    )
                )
            )
        )
    ),
    0
)</f>
        <v>0</v>
      </c>
      <c r="N11" s="21" cm="1">
        <f t="array" ref="N11">_xlfn.LET(
    _xlpm.combinedCondition, (Data[Sub-Track]=C11) *
                       (Data[Adopt Rebate Opt-In Status]="Opted in") *
                       (Data[Stage]="Eligible"),
    SUM(_xlpm.combinedCondition)
)</f>
        <v>0</v>
      </c>
      <c r="O11" s="49" cm="1">
        <f t="array" ref="O11">IFERROR(
    _xlfn.LET(
        _xlpm.combinedCondition, (Data[Sub-Track]=C11) *
                           (Data[Adopt Rebate Opt-In Status]="Opted in") *
                           (Data[Stage]="Eligible"),
        _xlpm.filteredIncentives, _xlfn._xlws.FILTER(Data[Potential Incentives], _xlpm.combinedCondition),
        SUM(_xlpm.filteredIncentives)
    ),
    0
)</f>
        <v>0</v>
      </c>
      <c r="P11" s="21" cm="1">
        <f t="array" ref="P11">IFERROR(
    _xlfn.LET(
        _xlpm.combinedCondition, (Data[Sub-Track]=C11) *
                           (Data[Earned?]=TRUE),
        SUM(_xlpm.combinedCondition)
    ),
    0
)</f>
        <v>0</v>
      </c>
      <c r="Q11" s="203" cm="1">
        <f t="array" ref="Q11">IFERROR(
    _xlfn.LET(
        _xlpm.combinedCondition, (Data[Sub-Track]=C11),
        _xlpm.filteredIncentives, _xlfn._xlws.FILTER(Data[Estimated Earned Incentives], _xlpm.combinedCondition),
        IF(ROWS(_xlpm.filteredIncentives)=0, 0, SUM(_xlpm.filteredIncentives))
    ),
    0
)</f>
        <v>0</v>
      </c>
    </row>
    <row r="12" spans="1:17" ht="15" thickBot="1" x14ac:dyDescent="0.45">
      <c r="A12" s="124" t="str">
        <v>Networking</v>
      </c>
      <c r="B12" s="5" t="str">
        <v>Meraki</v>
      </c>
      <c r="C12" s="5" t="str">
        <v>Programmability and Integrations for Meraki</v>
      </c>
      <c r="D12" s="125" t="str">
        <v>Advanced</v>
      </c>
      <c r="E12" s="213" cm="1">
        <f t="array" ref="E12">IFERROR(
    _xlfn.LET(
        _xlpm.filteredCRPartyIDs, _xlfn._xlws.FILTER(
                                Data[CR Party ID],
                                (Data[Sub-Track]=C12) *
                                (Data[Offer opted-in?]=FALSE) *
                                (Data[Stage]="Eligible")
                            ),
        _xlpm.uniqueIDs, _xlfn.UNIQUE(_xlpm.filteredCRPartyIDs),
        ROWS(_xlpm.uniqueIDs)
    ),
    0
)</f>
        <v>0</v>
      </c>
      <c r="F12" s="36" cm="1">
        <f t="array" ref="F12">IFERROR(
    _xlfn.LET(
        _xlpm.criteriaTrack, B12,
        _xlpm.criteriaSubTrack, C12,
        _xlpm.criteriaStage, "Eligible",
        _xlpm.criteriaOfferOptedIn, FALSE,
        _xlpm.combinedCondition, (Data[Track]=_xlpm.criteriaTrack) *
                           (Data[Sub-Track]=_xlpm.criteriaSubTrack) *
                           (Data[Stage]=_xlpm.criteriaStage) *
                           (Data[Offer opted-in?]=_xlpm.criteriaOfferOptedIn),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Data[Stage], _xlpm.criteriaStage,
                                Data[Offer opted-in?], _xlpm.criteriaOfferOptedIn
                            )
                        )
                    )
                )
            )
        )
    ),
    0
)</f>
        <v>0</v>
      </c>
      <c r="G12" s="23" cm="1">
        <f t="array" ref="G12">IFERROR(
    _xlfn.LET(
        _xlpm.combinedCondition, (Data[Sub-Track]=C12) *
                           (Data[UC 25-50% eligible w/o opt-in]=TRUE),
        _xlpm.filteredCRPartyIDs, _xlfn._xlws.FILTER(Data[CR Party ID], _xlpm.combinedCondition),
        _xlpm.uniqueIDs, _xlfn.UNIQUE(_xlpm.filteredCRPartyIDs),
        ROWS(_xlpm.uniqueIDs)
    ),
    0
)</f>
        <v>0</v>
      </c>
      <c r="H12" s="16" cm="1">
        <f t="array" ref="H12">IFERROR(
    _xlfn.LET(
        _xlpm.criteriaTrack, B12,
        _xlpm.criteriaSubTrack, C12,
        _xlpm.criteriaUCCondition, TRUE,
        _xlpm.combinedCondition, (Data[Track]=_xlpm.criteriaTrack) *
                           (Data[Sub-Track]=_xlpm.criteriaSubTrack) *
                           (Data[UC 25-50%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Data[UC 25-50% eligible w/o opt-in], _xlpm.criteriaUCCondition
                            )
                        )
                    )
                )
            )
        )
    ),
    0
)</f>
        <v>0</v>
      </c>
      <c r="I12" s="22" cm="1">
        <f t="array" ref="I12">IFERROR(
    _xlfn.LET(
        _xlpm.combinedCondition, (Data[Sub-Track]=C12) *
                           (Data[UC 75% eligible w/o opt-in]=TRUE),
        _xlpm.filteredCRPartyIDs, _xlfn._xlws.FILTER(Data[CR Party ID], _xlpm.combinedCondition),
        _xlpm.uniqueIDs, _xlfn.UNIQUE(_xlpm.filteredCRPartyIDs),
        ROWS(_xlpm.uniqueIDs)
    ),
    0
)</f>
        <v>0</v>
      </c>
      <c r="J12" s="12" cm="1">
        <f t="array" ref="J12">IFERROR(
    _xlfn.LET(
        _xlpm.criteriaTrack, B12,
        _xlpm.criteriaSubTrack, C12,
        _xlpm.criteriaUCCondition, TRUE,
        _xlpm.combinedCondition, (Data[Track]=_xlpm.criteriaTrack) *
                           (Data[Sub-Track]=_xlpm.criteriaSubTrack) *
                           (Data[UC 75%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Data[Missed Incentives],
                                Data[CRPartyID-Offer], _xlpm.currentPair,
                                Data[Track], _xlpm.criteriaTrack,
                                Data[Sub-Track], _xlpm.criteriaSubTrack,
                                Data[UC 75% eligible w/o opt-in], _xlpm.criteriaUCCondition
                            )
                        )
                    )
                )
            )
        )
    ),
    0
)</f>
        <v>0</v>
      </c>
      <c r="K12" s="12" cm="1">
        <f t="array" ref="K12">IFERROR(
    _xlfn.LET(
        _xlpm.criteriaTrack, B12,
        _xlpm.criteriaSubTrack, C12,
        _xlpm.criteriaUCCondition, TRUE,
        _xlpm.combinedCondition, (Data[Track]=_xlpm.criteriaTrack) *
                           (Data[Sub-Track]=_xlpm.criteriaSubTrack) *
                           (Data[UC 75%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Data[UC 75% eligible w/o opt-in], _xlpm.criteriaUCCondition
                            )
                        )
                    )
                )
            )
        )
    ),
    0
)</f>
        <v>0</v>
      </c>
      <c r="L12" s="43" cm="1">
        <f t="array" ref="L12">IFERROR(
    _xlfn.LET(
        _xlpm.combinedCondition, (Data[Sub-Track]=C12) *
                           (Data[UC progressed and missed w/o opt-in]=TRUE),
        _xlpm.filteredCRPartyIDs, _xlfn._xlws.FILTER(Data[CR Party ID], _xlpm.combinedCondition),
        _xlpm.uniqueIDs, _xlfn.UNIQUE(_xlpm.filteredCRPartyIDs),
        ROWS(_xlpm.uniqueIDs)
    ),
    0
)</f>
        <v>0</v>
      </c>
      <c r="M12" s="44" cm="1">
        <f t="array" ref="M12">IFERROR(
    _xlfn.LET(
        _xlpm.criteriaTrack, B12,
        _xlpm.criteriaSubTrack, C12,
        _xlpm.criteriaUCCondition, TRUE,
        _xlpm.combinedCondition, (Data[Track]=_xlpm.criteriaTrack) *
                           (Data[Sub-Track]=_xlpm.criteriaSubTrack) *
                           (Data[UC progressed and missed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Data[Missed Incentives],
                                Data[CRPartyID-Offer], _xlpm.currentPair,
                                Data[Track], _xlpm.criteriaTrack,
                                Data[Sub-Track], _xlpm.criteriaSubTrack,
                                Data[UC progressed and missed w/o opt-in], _xlpm.criteriaUCCondition
                            )
                        )
                    )
                )
            )
        )
    ),
    0
)</f>
        <v>0</v>
      </c>
      <c r="N12" s="24" cm="1">
        <f t="array" ref="N12">_xlfn.LET(
    _xlpm.combinedCondition, (Data[Sub-Track]=C12) *
                       (Data[Adopt Rebate Opt-In Status]="Opted in") *
                       (Data[Stage]="Eligible"),
    SUM(_xlpm.combinedCondition)
)</f>
        <v>0</v>
      </c>
      <c r="O12" s="48" cm="1">
        <f t="array" ref="O12">IFERROR(
    _xlfn.LET(
        _xlpm.combinedCondition, (Data[Sub-Track]=C12) *
                           (Data[Adopt Rebate Opt-In Status]="Opted in") *
                           (Data[Stage]="Eligible"),
        _xlpm.filteredIncentives, _xlfn._xlws.FILTER(Data[Potential Incentives], _xlpm.combinedCondition),
        SUM(_xlpm.filteredIncentives)
    ),
    0
)</f>
        <v>0</v>
      </c>
      <c r="P12" s="24" cm="1">
        <f t="array" ref="P12">IFERROR(
    _xlfn.LET(
        _xlpm.combinedCondition, (Data[Sub-Track]=C12) *
                           (Data[Earned?]=TRUE),
        SUM(_xlpm.combinedCondition)
    ),
    0
)</f>
        <v>0</v>
      </c>
      <c r="Q12" s="214" cm="1">
        <f t="array" ref="Q12">IFERROR(
    _xlfn.LET(
        _xlpm.combinedCondition, (Data[Sub-Track]=C12),
        _xlpm.filteredIncentives, _xlfn._xlws.FILTER(Data[Estimated Earned Incentives], _xlpm.combinedCondition),
        IF(ROWS(_xlpm.filteredIncentives)=0, 0, SUM(_xlpm.filteredIncentives))
    ),
    0
)</f>
        <v>0</v>
      </c>
    </row>
    <row r="13" spans="1:17" x14ac:dyDescent="0.4">
      <c r="A13" s="168" t="str">
        <v>Networking</v>
      </c>
      <c r="B13" s="4" t="str">
        <v>SD WAN</v>
      </c>
      <c r="C13" s="4" t="str">
        <v>Multicloud Connectivity</v>
      </c>
      <c r="D13" s="169" t="str">
        <v>Advanced</v>
      </c>
      <c r="E13" s="200" cm="1">
        <f t="array" ref="E13">IFERROR(
    _xlfn.LET(
        _xlpm.filteredCRPartyIDs, _xlfn._xlws.FILTER(
                                Data[CR Party ID],
                                (Data[Sub-Track]=C13) *
                                (Data[Offer opted-in?]=FALSE) *
                                (Data[Stage]="Eligible")
                            ),
        _xlpm.uniqueIDs, _xlfn.UNIQUE(_xlpm.filteredCRPartyIDs),
        ROWS(_xlpm.uniqueIDs)
    ),
    0
)</f>
        <v>0</v>
      </c>
      <c r="F13" s="35" cm="1">
        <f t="array" ref="F13">IFERROR(
    _xlfn.LET(
        _xlpm.criteriaTrack, B13,
        _xlpm.criteriaSubTrack, C13,
        _xlpm.criteriaStage, "Eligible",
        _xlpm.criteriaOfferOptedIn, FALSE,
        _xlpm.combinedCondition, (Data[Track]=_xlpm.criteriaTrack) *
                           (Data[Sub-Track]=_xlpm.criteriaSubTrack) *
                           (Data[Stage]=_xlpm.criteriaStage) *
                           (Data[Offer opted-in?]=_xlpm.criteriaOfferOptedIn),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Data[Stage], _xlpm.criteriaStage,
                                Data[Offer opted-in?], _xlpm.criteriaOfferOptedIn
                            )
                        )
                    )
                )
            )
        )
    ),
    0
)</f>
        <v>0</v>
      </c>
      <c r="G13" s="20" cm="1">
        <f t="array" ref="G13">IFERROR(
    _xlfn.LET(
        _xlpm.combinedCondition, (Data[Sub-Track]=C13) *
                           (Data[UC 25-50% eligible w/o opt-in]=TRUE),
        _xlpm.filteredCRPartyIDs, _xlfn._xlws.FILTER(Data[CR Party ID], _xlpm.combinedCondition),
        _xlpm.uniqueIDs, _xlfn.UNIQUE(_xlpm.filteredCRPartyIDs),
        ROWS(_xlpm.uniqueIDs)
    ),
    0
)</f>
        <v>0</v>
      </c>
      <c r="H13" s="15" cm="1">
        <f t="array" ref="H13">IFERROR(
    _xlfn.LET(
        _xlpm.criteriaTrack, B13,
        _xlpm.criteriaSubTrack, C13,
        _xlpm.criteriaUCCondition, TRUE,
        _xlpm.combinedCondition, (Data[Track]=_xlpm.criteriaTrack) *
                           (Data[Sub-Track]=_xlpm.criteriaSubTrack) *
                           (Data[UC 25-50%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Data[UC 25-50% eligible w/o opt-in], _xlpm.criteriaUCCondition
                            )
                        )
                    )
                )
            )
        )
    ),
    0
)</f>
        <v>0</v>
      </c>
      <c r="I13" s="19" cm="1">
        <f t="array" ref="I13">IFERROR(
    _xlfn.LET(
        _xlpm.combinedCondition, (Data[Sub-Track]=C13) *
                           (Data[UC 75% eligible w/o opt-in]=TRUE),
        _xlpm.filteredCRPartyIDs, _xlfn._xlws.FILTER(Data[CR Party ID], _xlpm.combinedCondition),
        _xlpm.uniqueIDs, _xlfn.UNIQUE(_xlpm.filteredCRPartyIDs),
        ROWS(_xlpm.uniqueIDs)
    ),
    0
)</f>
        <v>0</v>
      </c>
      <c r="J13" s="11" cm="1">
        <f t="array" ref="J13">IFERROR(
    _xlfn.LET(
        _xlpm.criteriaTrack, B13,
        _xlpm.criteriaSubTrack, C13,
        _xlpm.criteriaUCCondition, TRUE,
        _xlpm.combinedCondition, (Data[Track]=_xlpm.criteriaTrack) *
                           (Data[Sub-Track]=_xlpm.criteriaSubTrack) *
                           (Data[UC 75%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Data[Missed Incentives],
                                Data[CRPartyID-Offer], _xlpm.currentPair,
                                Data[Track], _xlpm.criteriaTrack,
                                Data[Sub-Track], _xlpm.criteriaSubTrack,
                                Data[UC 75% eligible w/o opt-in], _xlpm.criteriaUCCondition
                            )
                        )
                    )
                )
            )
        )
    ),
    0
)</f>
        <v>0</v>
      </c>
      <c r="K13" s="11" cm="1">
        <f t="array" ref="K13">IFERROR(
    _xlfn.LET(
        _xlpm.criteriaTrack, B13,
        _xlpm.criteriaSubTrack, C13,
        _xlpm.criteriaUCCondition, TRUE,
        _xlpm.combinedCondition, (Data[Track]=_xlpm.criteriaTrack) *
                           (Data[Sub-Track]=_xlpm.criteriaSubTrack) *
                           (Data[UC 75%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Data[UC 75% eligible w/o opt-in], _xlpm.criteriaUCCondition
                            )
                        )
                    )
                )
            )
        )
    ),
    0
)</f>
        <v>0</v>
      </c>
      <c r="L13" s="41" cm="1">
        <f t="array" ref="L13">IFERROR(
    _xlfn.LET(
        _xlpm.combinedCondition, (Data[Sub-Track]=C13) *
                           (Data[UC progressed and missed w/o opt-in]=TRUE),
        _xlpm.filteredCRPartyIDs, _xlfn._xlws.FILTER(Data[CR Party ID], _xlpm.combinedCondition),
        _xlpm.uniqueIDs, _xlfn.UNIQUE(_xlpm.filteredCRPartyIDs),
        ROWS(_xlpm.uniqueIDs)
    ),
    0
)</f>
        <v>0</v>
      </c>
      <c r="M13" s="42" cm="1">
        <f t="array" ref="M13">IFERROR(
    _xlfn.LET(
        _xlpm.criteriaTrack, B13,
        _xlpm.criteriaSubTrack, C13,
        _xlpm.criteriaUCCondition, TRUE,
        _xlpm.combinedCondition, (Data[Track]=_xlpm.criteriaTrack) *
                           (Data[Sub-Track]=_xlpm.criteriaSubTrack) *
                           (Data[UC progressed and missed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Data[Missed Incentives],
                                Data[CRPartyID-Offer], _xlpm.currentPair,
                                Data[Track], _xlpm.criteriaTrack,
                                Data[Sub-Track], _xlpm.criteriaSubTrack,
                                Data[UC progressed and missed w/o opt-in], _xlpm.criteriaUCCondition
                            )
                        )
                    )
                )
            )
        )
    ),
    0
)</f>
        <v>0</v>
      </c>
      <c r="N13" s="21" cm="1">
        <f t="array" ref="N13">_xlfn.LET(
    _xlpm.combinedCondition, (Data[Sub-Track]=C13) *
                       (Data[Adopt Rebate Opt-In Status]="Opted in") *
                       (Data[Stage]="Eligible"),
    SUM(_xlpm.combinedCondition)
)</f>
        <v>0</v>
      </c>
      <c r="O13" s="49" cm="1">
        <f t="array" ref="O13">IFERROR(
    _xlfn.LET(
        _xlpm.combinedCondition, (Data[Sub-Track]=C13) *
                           (Data[Adopt Rebate Opt-In Status]="Opted in") *
                           (Data[Stage]="Eligible"),
        _xlpm.filteredIncentives, _xlfn._xlws.FILTER(Data[Potential Incentives], _xlpm.combinedCondition),
        SUM(_xlpm.filteredIncentives)
    ),
    0
)</f>
        <v>0</v>
      </c>
      <c r="P13" s="21" cm="1">
        <f t="array" ref="P13">IFERROR(
    _xlfn.LET(
        _xlpm.combinedCondition, (Data[Sub-Track]=C13) *
                           (Data[Earned?]=TRUE),
        SUM(_xlpm.combinedCondition)
    ),
    0
)</f>
        <v>0</v>
      </c>
      <c r="Q13" s="203" cm="1">
        <f t="array" ref="Q13">IFERROR(
    _xlfn.LET(
        _xlpm.combinedCondition, (Data[Sub-Track]=C13),
        _xlpm.filteredIncentives, _xlfn._xlws.FILTER(Data[Estimated Earned Incentives], _xlpm.combinedCondition),
        IF(ROWS(_xlpm.filteredIncentives)=0, 0, SUM(_xlpm.filteredIncentives))
    ),
    0
)</f>
        <v>0</v>
      </c>
    </row>
    <row r="14" spans="1:17" x14ac:dyDescent="0.4">
      <c r="A14" s="120" t="str">
        <v>Networking</v>
      </c>
      <c r="B14" t="str">
        <v>SD WAN</v>
      </c>
      <c r="C14" t="str">
        <v>SD-Routing</v>
      </c>
      <c r="D14" s="121" t="str">
        <v>Standard</v>
      </c>
      <c r="E14" s="204" cm="1">
        <f t="array" ref="E14">IFERROR(
    _xlfn.LET(
        _xlpm.filteredCRPartyIDs, _xlfn._xlws.FILTER(
                                Data[CR Party ID],
                                (Data[Sub-Track]=C14) *
                                (Data[Offer opted-in?]=FALSE) *
                                (Data[Stage]="Eligible")
                            ),
        _xlpm.uniqueIDs, _xlfn.UNIQUE(_xlpm.filteredCRPartyIDs),
        ROWS(_xlpm.uniqueIDs)
    ),
    0
)</f>
        <v>0</v>
      </c>
      <c r="F14" s="205" cm="1">
        <f t="array" ref="F14">IFERROR(
    _xlfn.LET(
        _xlpm.criteriaTrack, B14,
        _xlpm.criteriaSubTrack, C14,
        _xlpm.criteriaStage, "Eligible",
        _xlpm.criteriaOfferOptedIn, FALSE,
        _xlpm.combinedCondition, (Data[Track]=_xlpm.criteriaTrack) *
                           (Data[Sub-Track]=_xlpm.criteriaSubTrack) *
                           (Data[Stage]=_xlpm.criteriaStage) *
                           (Data[Offer opted-in?]=_xlpm.criteriaOfferOptedIn),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Data[Stage], _xlpm.criteriaStage,
                                Data[Offer opted-in?], _xlpm.criteriaOfferOptedIn
                            )
                        )
                    )
                )
            )
        )
    ),
    0
)</f>
        <v>0</v>
      </c>
      <c r="G14" s="206" cm="1">
        <f t="array" ref="G14">IFERROR(
    _xlfn.LET(
        _xlpm.combinedCondition, (Data[Sub-Track]=C14) *
                           (Data[UC 25-50% eligible w/o opt-in]=TRUE),
        _xlpm.filteredCRPartyIDs, _xlfn._xlws.FILTER(Data[CR Party ID], _xlpm.combinedCondition),
        _xlpm.uniqueIDs, _xlfn.UNIQUE(_xlpm.filteredCRPartyIDs),
        ROWS(_xlpm.uniqueIDs)
    ),
    0
)</f>
        <v>0</v>
      </c>
      <c r="H14" s="207" cm="1">
        <f t="array" ref="H14">IFERROR(
    _xlfn.LET(
        _xlpm.criteriaTrack, B14,
        _xlpm.criteriaSubTrack, C14,
        _xlpm.criteriaUCCondition, TRUE,
        _xlpm.combinedCondition, (Data[Track]=_xlpm.criteriaTrack) *
                           (Data[Sub-Track]=_xlpm.criteriaSubTrack) *
                           (Data[UC 25-50%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Data[UC 25-50% eligible w/o opt-in], _xlpm.criteriaUCCondition
                            )
                        )
                    )
                )
            )
        )
    ),
    0
)</f>
        <v>0</v>
      </c>
      <c r="I14" s="208" cm="1">
        <f t="array" ref="I14">IFERROR(
    _xlfn.LET(
        _xlpm.combinedCondition, (Data[Sub-Track]=C14) *
                           (Data[UC 75% eligible w/o opt-in]=TRUE),
        _xlpm.filteredCRPartyIDs, _xlfn._xlws.FILTER(Data[CR Party ID], _xlpm.combinedCondition),
        _xlpm.uniqueIDs, _xlfn.UNIQUE(_xlpm.filteredCRPartyIDs),
        ROWS(_xlpm.uniqueIDs)
    ),
    0
)</f>
        <v>0</v>
      </c>
      <c r="J14" s="209" cm="1">
        <f t="array" ref="J14">IFERROR(
    _xlfn.LET(
        _xlpm.criteriaTrack, B14,
        _xlpm.criteriaSubTrack, C14,
        _xlpm.criteriaUCCondition, TRUE,
        _xlpm.combinedCondition, (Data[Track]=_xlpm.criteriaTrack) *
                           (Data[Sub-Track]=_xlpm.criteriaSubTrack) *
                           (Data[UC 75%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Data[Missed Incentives],
                                Data[CRPartyID-Offer], _xlpm.currentPair,
                                Data[Track], _xlpm.criteriaTrack,
                                Data[Sub-Track], _xlpm.criteriaSubTrack,
                                Data[UC 75% eligible w/o opt-in], _xlpm.criteriaUCCondition
                            )
                        )
                    )
                )
            )
        )
    ),
    0
)</f>
        <v>0</v>
      </c>
      <c r="K14" s="209" cm="1">
        <f t="array" ref="K14">IFERROR(
    _xlfn.LET(
        _xlpm.criteriaTrack, B14,
        _xlpm.criteriaSubTrack, C14,
        _xlpm.criteriaUCCondition, TRUE,
        _xlpm.combinedCondition, (Data[Track]=_xlpm.criteriaTrack) *
                           (Data[Sub-Track]=_xlpm.criteriaSubTrack) *
                           (Data[UC 75%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Data[UC 75% eligible w/o opt-in], _xlpm.criteriaUCCondition
                            )
                        )
                    )
                )
            )
        )
    ),
    0
)</f>
        <v>0</v>
      </c>
      <c r="L14" s="210" cm="1">
        <f t="array" ref="L14">IFERROR(
    _xlfn.LET(
        _xlpm.combinedCondition, (Data[Sub-Track]=C14) *
                           (Data[UC progressed and missed w/o opt-in]=TRUE),
        _xlpm.filteredCRPartyIDs, _xlfn._xlws.FILTER(Data[CR Party ID], _xlpm.combinedCondition),
        _xlpm.uniqueIDs, _xlfn.UNIQUE(_xlpm.filteredCRPartyIDs),
        ROWS(_xlpm.uniqueIDs)
    ),
    0
)</f>
        <v>0</v>
      </c>
      <c r="M14" s="211" cm="1">
        <f t="array" ref="M14">IFERROR(
    _xlfn.LET(
        _xlpm.criteriaTrack, B14,
        _xlpm.criteriaSubTrack, C14,
        _xlpm.criteriaUCCondition, TRUE,
        _xlpm.combinedCondition, (Data[Track]=_xlpm.criteriaTrack) *
                           (Data[Sub-Track]=_xlpm.criteriaSubTrack) *
                           (Data[UC progressed and missed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Data[Missed Incentives],
                                Data[CRPartyID-Offer], _xlpm.currentPair,
                                Data[Track], _xlpm.criteriaTrack,
                                Data[Sub-Track], _xlpm.criteriaSubTrack,
                                Data[UC progressed and missed w/o opt-in], _xlpm.criteriaUCCondition
                            )
                        )
                    )
                )
            )
        )
    ),
    0
)</f>
        <v>0</v>
      </c>
      <c r="N14" s="201" cm="1">
        <f t="array" ref="N14">_xlfn.LET(
    _xlpm.combinedCondition, (Data[Sub-Track]=C14) *
                       (Data[Adopt Rebate Opt-In Status]="Opted in") *
                       (Data[Stage]="Eligible"),
    SUM(_xlpm.combinedCondition)
)</f>
        <v>0</v>
      </c>
      <c r="O14" s="202" cm="1">
        <f t="array" ref="O14">IFERROR(
    _xlfn.LET(
        _xlpm.combinedCondition, (Data[Sub-Track]=C14) *
                           (Data[Adopt Rebate Opt-In Status]="Opted in") *
                           (Data[Stage]="Eligible"),
        _xlpm.filteredIncentives, _xlfn._xlws.FILTER(Data[Potential Incentives], _xlpm.combinedCondition),
        SUM(_xlpm.filteredIncentives)
    ),
    0
)</f>
        <v>0</v>
      </c>
      <c r="P14" s="201" cm="1">
        <f t="array" ref="P14">IFERROR(
    _xlfn.LET(
        _xlpm.combinedCondition, (Data[Sub-Track]=C14) *
                           (Data[Earned?]=TRUE),
        SUM(_xlpm.combinedCondition)
    ),
    0
)</f>
        <v>0</v>
      </c>
      <c r="Q14" s="212" cm="1">
        <f t="array" ref="Q14">IFERROR(
    _xlfn.LET(
        _xlpm.combinedCondition, (Data[Sub-Track]=C14),
        _xlpm.filteredIncentives, _xlfn._xlws.FILTER(Data[Estimated Earned Incentives], _xlpm.combinedCondition),
        IF(ROWS(_xlpm.filteredIncentives)=0, 0, SUM(_xlpm.filteredIncentives))
    ),
    0
)</f>
        <v>0</v>
      </c>
    </row>
    <row r="15" spans="1:17" ht="15" thickBot="1" x14ac:dyDescent="0.45">
      <c r="A15" s="124" t="str">
        <v>Networking</v>
      </c>
      <c r="B15" s="5" t="str">
        <v>SD WAN</v>
      </c>
      <c r="C15" s="5" t="str">
        <v>Secure Automated WAN</v>
      </c>
      <c r="D15" s="125" t="str">
        <v>Advanced</v>
      </c>
      <c r="E15" s="213" cm="1">
        <f t="array" ref="E15">IFERROR(
    _xlfn.LET(
        _xlpm.filteredCRPartyIDs, _xlfn._xlws.FILTER(
                                Data[CR Party ID],
                                (Data[Sub-Track]=C15) *
                                (Data[Offer opted-in?]=FALSE) *
                                (Data[Stage]="Eligible")
                            ),
        _xlpm.uniqueIDs, _xlfn.UNIQUE(_xlpm.filteredCRPartyIDs),
        ROWS(_xlpm.uniqueIDs)
    ),
    0
)</f>
        <v>0</v>
      </c>
      <c r="F15" s="36" cm="1">
        <f t="array" ref="F15">IFERROR(
    _xlfn.LET(
        _xlpm.criteriaTrack, B15,
        _xlpm.criteriaSubTrack, C15,
        _xlpm.criteriaStage, "Eligible",
        _xlpm.criteriaOfferOptedIn, FALSE,
        _xlpm.combinedCondition, (Data[Track]=_xlpm.criteriaTrack) *
                           (Data[Sub-Track]=_xlpm.criteriaSubTrack) *
                           (Data[Stage]=_xlpm.criteriaStage) *
                           (Data[Offer opted-in?]=_xlpm.criteriaOfferOptedIn),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Data[Stage], _xlpm.criteriaStage,
                                Data[Offer opted-in?], _xlpm.criteriaOfferOptedIn
                            )
                        )
                    )
                )
            )
        )
    ),
    0
)</f>
        <v>0</v>
      </c>
      <c r="G15" s="23" cm="1">
        <f t="array" ref="G15">IFERROR(
    _xlfn.LET(
        _xlpm.combinedCondition, (Data[Sub-Track]=C15) *
                           (Data[UC 25-50% eligible w/o opt-in]=TRUE),
        _xlpm.filteredCRPartyIDs, _xlfn._xlws.FILTER(Data[CR Party ID], _xlpm.combinedCondition),
        _xlpm.uniqueIDs, _xlfn.UNIQUE(_xlpm.filteredCRPartyIDs),
        ROWS(_xlpm.uniqueIDs)
    ),
    0
)</f>
        <v>0</v>
      </c>
      <c r="H15" s="16" cm="1">
        <f t="array" ref="H15">IFERROR(
    _xlfn.LET(
        _xlpm.criteriaTrack, B15,
        _xlpm.criteriaSubTrack, C15,
        _xlpm.criteriaUCCondition, TRUE,
        _xlpm.combinedCondition, (Data[Track]=_xlpm.criteriaTrack) *
                           (Data[Sub-Track]=_xlpm.criteriaSubTrack) *
                           (Data[UC 25-50%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Data[UC 25-50% eligible w/o opt-in], _xlpm.criteriaUCCondition
                            )
                        )
                    )
                )
            )
        )
    ),
    0
)</f>
        <v>0</v>
      </c>
      <c r="I15" s="22" cm="1">
        <f t="array" ref="I15">IFERROR(
    _xlfn.LET(
        _xlpm.combinedCondition, (Data[Sub-Track]=C15) *
                           (Data[UC 75% eligible w/o opt-in]=TRUE),
        _xlpm.filteredCRPartyIDs, _xlfn._xlws.FILTER(Data[CR Party ID], _xlpm.combinedCondition),
        _xlpm.uniqueIDs, _xlfn.UNIQUE(_xlpm.filteredCRPartyIDs),
        ROWS(_xlpm.uniqueIDs)
    ),
    0
)</f>
        <v>0</v>
      </c>
      <c r="J15" s="12" cm="1">
        <f t="array" ref="J15">IFERROR(
    _xlfn.LET(
        _xlpm.criteriaTrack, B15,
        _xlpm.criteriaSubTrack, C15,
        _xlpm.criteriaUCCondition, TRUE,
        _xlpm.combinedCondition, (Data[Track]=_xlpm.criteriaTrack) *
                           (Data[Sub-Track]=_xlpm.criteriaSubTrack) *
                           (Data[UC 75%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Data[Missed Incentives],
                                Data[CRPartyID-Offer], _xlpm.currentPair,
                                Data[Track], _xlpm.criteriaTrack,
                                Data[Sub-Track], _xlpm.criteriaSubTrack,
                                Data[UC 75% eligible w/o opt-in], _xlpm.criteriaUCCondition
                            )
                        )
                    )
                )
            )
        )
    ),
    0
)</f>
        <v>0</v>
      </c>
      <c r="K15" s="12" cm="1">
        <f t="array" ref="K15">IFERROR(
    _xlfn.LET(
        _xlpm.criteriaTrack, B15,
        _xlpm.criteriaSubTrack, C15,
        _xlpm.criteriaUCCondition, TRUE,
        _xlpm.combinedCondition, (Data[Track]=_xlpm.criteriaTrack) *
                           (Data[Sub-Track]=_xlpm.criteriaSubTrack) *
                           (Data[UC 75%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Data[UC 75% eligible w/o opt-in], _xlpm.criteriaUCCondition
                            )
                        )
                    )
                )
            )
        )
    ),
    0
)</f>
        <v>0</v>
      </c>
      <c r="L15" s="43" cm="1">
        <f t="array" ref="L15">IFERROR(
    _xlfn.LET(
        _xlpm.combinedCondition, (Data[Sub-Track]=C15) *
                           (Data[UC progressed and missed w/o opt-in]=TRUE),
        _xlpm.filteredCRPartyIDs, _xlfn._xlws.FILTER(Data[CR Party ID], _xlpm.combinedCondition),
        _xlpm.uniqueIDs, _xlfn.UNIQUE(_xlpm.filteredCRPartyIDs),
        ROWS(_xlpm.uniqueIDs)
    ),
    0
)</f>
        <v>0</v>
      </c>
      <c r="M15" s="44" cm="1">
        <f t="array" ref="M15">IFERROR(
    _xlfn.LET(
        _xlpm.criteriaTrack, B15,
        _xlpm.criteriaSubTrack, C15,
        _xlpm.criteriaUCCondition, TRUE,
        _xlpm.combinedCondition, (Data[Track]=_xlpm.criteriaTrack) *
                           (Data[Sub-Track]=_xlpm.criteriaSubTrack) *
                           (Data[UC progressed and missed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Data[Missed Incentives],
                                Data[CRPartyID-Offer], _xlpm.currentPair,
                                Data[Track], _xlpm.criteriaTrack,
                                Data[Sub-Track], _xlpm.criteriaSubTrack,
                                Data[UC progressed and missed w/o opt-in], _xlpm.criteriaUCCondition
                            )
                        )
                    )
                )
            )
        )
    ),
    0
)</f>
        <v>0</v>
      </c>
      <c r="N15" s="24" cm="1">
        <f t="array" ref="N15">_xlfn.LET(
    _xlpm.combinedCondition, (Data[Sub-Track]=C15) *
                       (Data[Adopt Rebate Opt-In Status]="Opted in") *
                       (Data[Stage]="Eligible"),
    SUM(_xlpm.combinedCondition)
)</f>
        <v>0</v>
      </c>
      <c r="O15" s="48" cm="1">
        <f t="array" ref="O15">IFERROR(
    _xlfn.LET(
        _xlpm.combinedCondition, (Data[Sub-Track]=C15) *
                           (Data[Adopt Rebate Opt-In Status]="Opted in") *
                           (Data[Stage]="Eligible"),
        _xlpm.filteredIncentives, _xlfn._xlws.FILTER(Data[Potential Incentives], _xlpm.combinedCondition),
        SUM(_xlpm.filteredIncentives)
    ),
    0
)</f>
        <v>0</v>
      </c>
      <c r="P15" s="24" cm="1">
        <f t="array" ref="P15">IFERROR(
    _xlfn.LET(
        _xlpm.combinedCondition, (Data[Sub-Track]=C15) *
                           (Data[Earned?]=TRUE),
        SUM(_xlpm.combinedCondition)
    ),
    0
)</f>
        <v>0</v>
      </c>
      <c r="Q15" s="214" cm="1">
        <f t="array" ref="Q15">IFERROR(
    _xlfn.LET(
        _xlpm.combinedCondition, (Data[Sub-Track]=C15),
        _xlpm.filteredIncentives, _xlfn._xlws.FILTER(Data[Estimated Earned Incentives], _xlpm.combinedCondition),
        IF(ROWS(_xlpm.filteredIncentives)=0, 0, SUM(_xlpm.filteredIncentives))
    ),
    0
)</f>
        <v>0</v>
      </c>
    </row>
    <row r="16" spans="1:17" ht="15" thickBot="1" x14ac:dyDescent="0.45">
      <c r="A16" s="170" t="str">
        <v>Security</v>
      </c>
      <c r="B16" s="6" t="str">
        <v>Cisco Secure Network Analytics</v>
      </c>
      <c r="C16" s="6" t="str">
        <v>Network Security Analytics</v>
      </c>
      <c r="D16" s="171" t="str">
        <v>Standard</v>
      </c>
      <c r="E16" s="213" cm="1">
        <f t="array" ref="E16">IFERROR(
    _xlfn.LET(
        _xlpm.filteredCRPartyIDs, _xlfn._xlws.FILTER(
                                Data[CR Party ID],
                                (Data[Sub-Track]=C16) *
                                (Data[Offer opted-in?]=FALSE) *
                                (Data[Stage]="Eligible")
                            ),
        _xlpm.uniqueIDs, _xlfn.UNIQUE(_xlpm.filteredCRPartyIDs),
        ROWS(_xlpm.uniqueIDs)
    ),
    0
)</f>
        <v>0</v>
      </c>
      <c r="F16" s="36" cm="1">
        <f t="array" ref="F16">IFERROR(
    _xlfn.LET(
        _xlpm.criteriaTrack, B16,
        _xlpm.criteriaSubTrack, C16,
        _xlpm.criteriaStage, "Eligible",
        _xlpm.criteriaOfferOptedIn, FALSE,
        _xlpm.combinedCondition, (Data[Track]=_xlpm.criteriaTrack) *
                           (Data[Sub-Track]=_xlpm.criteriaSubTrack) *
                           (Data[Stage]=_xlpm.criteriaStage) *
                           (Data[Offer opted-in?]=_xlpm.criteriaOfferOptedIn),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Data[Stage], _xlpm.criteriaStage,
                                Data[Offer opted-in?], _xlpm.criteriaOfferOptedIn
                            )
                        )
                    )
                )
            )
        )
    ),
    0
)</f>
        <v>0</v>
      </c>
      <c r="G16" s="23" cm="1">
        <f t="array" ref="G16">IFERROR(
    _xlfn.LET(
        _xlpm.combinedCondition, (Data[Sub-Track]=C16) *
                           (Data[UC 25-50% eligible w/o opt-in]=TRUE),
        _xlpm.filteredCRPartyIDs, _xlfn._xlws.FILTER(Data[CR Party ID], _xlpm.combinedCondition),
        _xlpm.uniqueIDs, _xlfn.UNIQUE(_xlpm.filteredCRPartyIDs),
        ROWS(_xlpm.uniqueIDs)
    ),
    0
)</f>
        <v>0</v>
      </c>
      <c r="H16" s="16" cm="1">
        <f t="array" ref="H16">IFERROR(
    _xlfn.LET(
        _xlpm.criteriaTrack, B16,
        _xlpm.criteriaSubTrack, C16,
        _xlpm.criteriaUCCondition, TRUE,
        _xlpm.combinedCondition, (Data[Track]=_xlpm.criteriaTrack) *
                           (Data[Sub-Track]=_xlpm.criteriaSubTrack) *
                           (Data[UC 25-50%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Data[UC 25-50% eligible w/o opt-in], _xlpm.criteriaUCCondition
                            )
                        )
                    )
                )
            )
        )
    ),
    0
)</f>
        <v>0</v>
      </c>
      <c r="I16" s="22" cm="1">
        <f t="array" ref="I16">IFERROR(
    _xlfn.LET(
        _xlpm.combinedCondition, (Data[Sub-Track]=C16) *
                           (Data[UC 75% eligible w/o opt-in]=TRUE),
        _xlpm.filteredCRPartyIDs, _xlfn._xlws.FILTER(Data[CR Party ID], _xlpm.combinedCondition),
        _xlpm.uniqueIDs, _xlfn.UNIQUE(_xlpm.filteredCRPartyIDs),
        ROWS(_xlpm.uniqueIDs)
    ),
    0
)</f>
        <v>0</v>
      </c>
      <c r="J16" s="12" cm="1">
        <f t="array" ref="J16">IFERROR(
    _xlfn.LET(
        _xlpm.criteriaTrack, B16,
        _xlpm.criteriaSubTrack, C16,
        _xlpm.criteriaUCCondition, TRUE,
        _xlpm.combinedCondition, (Data[Track]=_xlpm.criteriaTrack) *
                           (Data[Sub-Track]=_xlpm.criteriaSubTrack) *
                           (Data[UC 75%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Data[Missed Incentives],
                                Data[CRPartyID-Offer], _xlpm.currentPair,
                                Data[Track], _xlpm.criteriaTrack,
                                Data[Sub-Track], _xlpm.criteriaSubTrack,
                                Data[UC 75% eligible w/o opt-in], _xlpm.criteriaUCCondition
                            )
                        )
                    )
                )
            )
        )
    ),
    0
)</f>
        <v>0</v>
      </c>
      <c r="K16" s="12" cm="1">
        <f t="array" ref="K16">IFERROR(
    _xlfn.LET(
        _xlpm.criteriaTrack, B16,
        _xlpm.criteriaSubTrack, C16,
        _xlpm.criteriaUCCondition, TRUE,
        _xlpm.combinedCondition, (Data[Track]=_xlpm.criteriaTrack) *
                           (Data[Sub-Track]=_xlpm.criteriaSubTrack) *
                           (Data[UC 75%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Data[UC 75% eligible w/o opt-in], _xlpm.criteriaUCCondition
                            )
                        )
                    )
                )
            )
        )
    ),
    0
)</f>
        <v>0</v>
      </c>
      <c r="L16" s="43" cm="1">
        <f t="array" ref="L16">IFERROR(
    _xlfn.LET(
        _xlpm.combinedCondition, (Data[Sub-Track]=C16) *
                           (Data[UC progressed and missed w/o opt-in]=TRUE),
        _xlpm.filteredCRPartyIDs, _xlfn._xlws.FILTER(Data[CR Party ID], _xlpm.combinedCondition),
        _xlpm.uniqueIDs, _xlfn.UNIQUE(_xlpm.filteredCRPartyIDs),
        ROWS(_xlpm.uniqueIDs)
    ),
    0
)</f>
        <v>0</v>
      </c>
      <c r="M16" s="44" cm="1">
        <f t="array" ref="M16">IFERROR(
    _xlfn.LET(
        _xlpm.criteriaTrack, B16,
        _xlpm.criteriaSubTrack, C16,
        _xlpm.criteriaUCCondition, TRUE,
        _xlpm.combinedCondition, (Data[Track]=_xlpm.criteriaTrack) *
                           (Data[Sub-Track]=_xlpm.criteriaSubTrack) *
                           (Data[UC progressed and missed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Data[Missed Incentives],
                                Data[CRPartyID-Offer], _xlpm.currentPair,
                                Data[Track], _xlpm.criteriaTrack,
                                Data[Sub-Track], _xlpm.criteriaSubTrack,
                                Data[UC progressed and missed w/o opt-in], _xlpm.criteriaUCCondition
                            )
                        )
                    )
                )
            )
        )
    ),
    0
)</f>
        <v>0</v>
      </c>
      <c r="N16" s="24" cm="1">
        <f t="array" ref="N16">_xlfn.LET(
    _xlpm.combinedCondition, (Data[Sub-Track]=C16) *
                       (Data[Adopt Rebate Opt-In Status]="Opted in") *
                       (Data[Stage]="Eligible"),
    SUM(_xlpm.combinedCondition)
)</f>
        <v>0</v>
      </c>
      <c r="O16" s="48" cm="1">
        <f t="array" ref="O16">IFERROR(
    _xlfn.LET(
        _xlpm.combinedCondition, (Data[Sub-Track]=C16) *
                           (Data[Adopt Rebate Opt-In Status]="Opted in") *
                           (Data[Stage]="Eligible"),
        _xlpm.filteredIncentives, _xlfn._xlws.FILTER(Data[Potential Incentives], _xlpm.combinedCondition),
        SUM(_xlpm.filteredIncentives)
    ),
    0
)</f>
        <v>0</v>
      </c>
      <c r="P16" s="24" cm="1">
        <f t="array" ref="P16">IFERROR(
    _xlfn.LET(
        _xlpm.combinedCondition, (Data[Sub-Track]=C16) *
                           (Data[Earned?]=TRUE),
        SUM(_xlpm.combinedCondition)
    ),
    0
)</f>
        <v>0</v>
      </c>
      <c r="Q16" s="214" cm="1">
        <f t="array" ref="Q16">IFERROR(
    _xlfn.LET(
        _xlpm.combinedCondition, (Data[Sub-Track]=C16),
        _xlpm.filteredIncentives, _xlfn._xlws.FILTER(Data[Estimated Earned Incentives], _xlpm.combinedCondition),
        IF(ROWS(_xlpm.filteredIncentives)=0, 0, SUM(_xlpm.filteredIncentives))
    ),
    0
)</f>
        <v>0</v>
      </c>
    </row>
    <row r="17" spans="1:17" ht="15" thickBot="1" x14ac:dyDescent="0.45">
      <c r="A17" s="170" t="str">
        <v>Security</v>
      </c>
      <c r="B17" s="6" t="str">
        <v>Duo</v>
      </c>
      <c r="C17" s="6" t="str">
        <v>Secure Application Access With Phishing-Resistant MFA</v>
      </c>
      <c r="D17" s="171" t="str">
        <v>Standard</v>
      </c>
      <c r="E17" s="215" cm="1">
        <f t="array" ref="E17">IFERROR(
    _xlfn.LET(
        _xlpm.filteredCRPartyIDs, _xlfn._xlws.FILTER(
                                Data[CR Party ID],
                                (Data[Sub-Track]=C17) *
                                (Data[Offer opted-in?]=FALSE) *
                                (Data[Stage]="Eligible")
                            ),
        _xlpm.uniqueIDs, _xlfn.UNIQUE(_xlpm.filteredCRPartyIDs),
        ROWS(_xlpm.uniqueIDs)
    ),
    0
)</f>
        <v>0</v>
      </c>
      <c r="F17" s="37" cm="1">
        <f t="array" ref="F17">IFERROR(
    _xlfn.LET(
        _xlpm.criteriaTrack, B17,
        _xlpm.criteriaSubTrack, C17,
        _xlpm.criteriaStage, "Eligible",
        _xlpm.criteriaOfferOptedIn, FALSE,
        _xlpm.combinedCondition, (Data[Track]=_xlpm.criteriaTrack) *
                           (Data[Sub-Track]=_xlpm.criteriaSubTrack) *
                           (Data[Stage]=_xlpm.criteriaStage) *
                           (Data[Offer opted-in?]=_xlpm.criteriaOfferOptedIn),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Data[Stage], _xlpm.criteriaStage,
                                Data[Offer opted-in?], _xlpm.criteriaOfferOptedIn
                            )
                        )
                    )
                )
            )
        )
    ),
    0
)</f>
        <v>0</v>
      </c>
      <c r="G17" s="26" cm="1">
        <f t="array" ref="G17">IFERROR(
    _xlfn.LET(
        _xlpm.combinedCondition, (Data[Sub-Track]=C17) *
                           (Data[UC 25-50% eligible w/o opt-in]=TRUE),
        _xlpm.filteredCRPartyIDs, _xlfn._xlws.FILTER(Data[CR Party ID], _xlpm.combinedCondition),
        _xlpm.uniqueIDs, _xlfn.UNIQUE(_xlpm.filteredCRPartyIDs),
        ROWS(_xlpm.uniqueIDs)
    ),
    0
)</f>
        <v>0</v>
      </c>
      <c r="H17" s="17" cm="1">
        <f t="array" ref="H17">IFERROR(
    _xlfn.LET(
        _xlpm.criteriaTrack, B17,
        _xlpm.criteriaSubTrack, C17,
        _xlpm.criteriaUCCondition, TRUE,
        _xlpm.combinedCondition, (Data[Track]=_xlpm.criteriaTrack) *
                           (Data[Sub-Track]=_xlpm.criteriaSubTrack) *
                           (Data[UC 25-50%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Data[UC 25-50% eligible w/o opt-in], _xlpm.criteriaUCCondition
                            )
                        )
                    )
                )
            )
        )
    ),
    0
)</f>
        <v>0</v>
      </c>
      <c r="I17" s="25" cm="1">
        <f t="array" ref="I17">IFERROR(
    _xlfn.LET(
        _xlpm.combinedCondition, (Data[Sub-Track]=C17) *
                           (Data[UC 75% eligible w/o opt-in]=TRUE),
        _xlpm.filteredCRPartyIDs, _xlfn._xlws.FILTER(Data[CR Party ID], _xlpm.combinedCondition),
        _xlpm.uniqueIDs, _xlfn.UNIQUE(_xlpm.filteredCRPartyIDs),
        ROWS(_xlpm.uniqueIDs)
    ),
    0
)</f>
        <v>0</v>
      </c>
      <c r="J17" s="13" cm="1">
        <f t="array" ref="J17">IFERROR(
    _xlfn.LET(
        _xlpm.criteriaTrack, B17,
        _xlpm.criteriaSubTrack, C17,
        _xlpm.criteriaUCCondition, TRUE,
        _xlpm.combinedCondition, (Data[Track]=_xlpm.criteriaTrack) *
                           (Data[Sub-Track]=_xlpm.criteriaSubTrack) *
                           (Data[UC 75%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Data[Missed Incentives],
                                Data[CRPartyID-Offer], _xlpm.currentPair,
                                Data[Track], _xlpm.criteriaTrack,
                                Data[Sub-Track], _xlpm.criteriaSubTrack,
                                Data[UC 75% eligible w/o opt-in], _xlpm.criteriaUCCondition
                            )
                        )
                    )
                )
            )
        )
    ),
    0
)</f>
        <v>0</v>
      </c>
      <c r="K17" s="13" cm="1">
        <f t="array" ref="K17">IFERROR(
    _xlfn.LET(
        _xlpm.criteriaTrack, B17,
        _xlpm.criteriaSubTrack, C17,
        _xlpm.criteriaUCCondition, TRUE,
        _xlpm.combinedCondition, (Data[Track]=_xlpm.criteriaTrack) *
                           (Data[Sub-Track]=_xlpm.criteriaSubTrack) *
                           (Data[UC 75%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Data[UC 75% eligible w/o opt-in], _xlpm.criteriaUCCondition
                            )
                        )
                    )
                )
            )
        )
    ),
    0
)</f>
        <v>0</v>
      </c>
      <c r="L17" s="45" cm="1">
        <f t="array" ref="L17">IFERROR(
    _xlfn.LET(
        _xlpm.combinedCondition, (Data[Sub-Track]=C17) *
                           (Data[UC progressed and missed w/o opt-in]=TRUE),
        _xlpm.filteredCRPartyIDs, _xlfn._xlws.FILTER(Data[CR Party ID], _xlpm.combinedCondition),
        _xlpm.uniqueIDs, _xlfn.UNIQUE(_xlpm.filteredCRPartyIDs),
        ROWS(_xlpm.uniqueIDs)
    ),
    0
)</f>
        <v>0</v>
      </c>
      <c r="M17" s="46" cm="1">
        <f t="array" ref="M17">IFERROR(
    _xlfn.LET(
        _xlpm.criteriaTrack, B17,
        _xlpm.criteriaSubTrack, C17,
        _xlpm.criteriaUCCondition, TRUE,
        _xlpm.combinedCondition, (Data[Track]=_xlpm.criteriaTrack) *
                           (Data[Sub-Track]=_xlpm.criteriaSubTrack) *
                           (Data[UC progressed and missed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Data[Missed Incentives],
                                Data[CRPartyID-Offer], _xlpm.currentPair,
                                Data[Track], _xlpm.criteriaTrack,
                                Data[Sub-Track], _xlpm.criteriaSubTrack,
                                Data[UC progressed and missed w/o opt-in], _xlpm.criteriaUCCondition
                            )
                        )
                    )
                )
            )
        )
    ),
    0
)</f>
        <v>0</v>
      </c>
      <c r="N17" s="27" cm="1">
        <f t="array" ref="N17">_xlfn.LET(
    _xlpm.combinedCondition, (Data[Sub-Track]=C17) *
                       (Data[Adopt Rebate Opt-In Status]="Opted in") *
                       (Data[Stage]="Eligible"),
    SUM(_xlpm.combinedCondition)
)</f>
        <v>0</v>
      </c>
      <c r="O17" s="50" cm="1">
        <f t="array" ref="O17">IFERROR(
    _xlfn.LET(
        _xlpm.combinedCondition, (Data[Sub-Track]=C17) *
                           (Data[Adopt Rebate Opt-In Status]="Opted in") *
                           (Data[Stage]="Eligible"),
        _xlpm.filteredIncentives, _xlfn._xlws.FILTER(Data[Potential Incentives], _xlpm.combinedCondition),
        SUM(_xlpm.filteredIncentives)
    ),
    0
)</f>
        <v>0</v>
      </c>
      <c r="P17" s="27" cm="1">
        <f t="array" ref="P17">IFERROR(
    _xlfn.LET(
        _xlpm.combinedCondition, (Data[Sub-Track]=C17) *
                           (Data[Earned?]=TRUE),
        SUM(_xlpm.combinedCondition)
    ),
    0
)</f>
        <v>0</v>
      </c>
      <c r="Q17" s="216" cm="1">
        <f t="array" ref="Q17">IFERROR(
    _xlfn.LET(
        _xlpm.combinedCondition, (Data[Sub-Track]=C17),
        _xlpm.filteredIncentives, _xlfn._xlws.FILTER(Data[Estimated Earned Incentives], _xlpm.combinedCondition),
        IF(ROWS(_xlpm.filteredIncentives)=0, 0, SUM(_xlpm.filteredIncentives))
    ),
    0
)</f>
        <v>0</v>
      </c>
    </row>
    <row r="18" spans="1:17" x14ac:dyDescent="0.4">
      <c r="A18" s="168" t="str">
        <v>Security</v>
      </c>
      <c r="B18" s="4" t="str">
        <v>Cisco Umbrella</v>
      </c>
      <c r="C18" s="4" t="str">
        <v>DNS Security</v>
      </c>
      <c r="D18" s="169" t="str">
        <v>Standard</v>
      </c>
      <c r="E18" s="200" cm="1">
        <f t="array" ref="E18">IFERROR(
    _xlfn.LET(
        _xlpm.filteredCRPartyIDs, _xlfn._xlws.FILTER(
                                Data[CR Party ID],
                                (Data[Sub-Track]=C18) *
                                (Data[Offer opted-in?]=FALSE) *
                                (Data[Stage]="Eligible")
                            ),
        _xlpm.uniqueIDs, _xlfn.UNIQUE(_xlpm.filteredCRPartyIDs),
        ROWS(_xlpm.uniqueIDs)
    ),
    0
)</f>
        <v>0</v>
      </c>
      <c r="F18" s="35" cm="1">
        <f t="array" ref="F18">IFERROR(
    _xlfn.LET(
        _xlpm.criteriaTrack, B18,
        _xlpm.criteriaSubTrack, C18,
        _xlpm.criteriaStage, "Eligible",
        _xlpm.criteriaOfferOptedIn, FALSE,
        _xlpm.combinedCondition, (Data[Track]=_xlpm.criteriaTrack) *
                           (Data[Sub-Track]=_xlpm.criteriaSubTrack) *
                           (Data[Stage]=_xlpm.criteriaStage) *
                           (Data[Offer opted-in?]=_xlpm.criteriaOfferOptedIn),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Data[Stage], _xlpm.criteriaStage,
                                Data[Offer opted-in?], _xlpm.criteriaOfferOptedIn
                            )
                        )
                    )
                )
            )
        )
    ),
    0
)</f>
        <v>0</v>
      </c>
      <c r="G18" s="20" cm="1">
        <f t="array" ref="G18">IFERROR(
    _xlfn.LET(
        _xlpm.combinedCondition, (Data[Sub-Track]=C18) *
                           (Data[UC 25-50% eligible w/o opt-in]=TRUE),
        _xlpm.filteredCRPartyIDs, _xlfn._xlws.FILTER(Data[CR Party ID], _xlpm.combinedCondition),
        _xlpm.uniqueIDs, _xlfn.UNIQUE(_xlpm.filteredCRPartyIDs),
        ROWS(_xlpm.uniqueIDs)
    ),
    0
)</f>
        <v>0</v>
      </c>
      <c r="H18" s="15" cm="1">
        <f t="array" ref="H18">IFERROR(
    _xlfn.LET(
        _xlpm.criteriaTrack, B18,
        _xlpm.criteriaSubTrack, C18,
        _xlpm.criteriaUCCondition, TRUE,
        _xlpm.combinedCondition, (Data[Track]=_xlpm.criteriaTrack) *
                           (Data[Sub-Track]=_xlpm.criteriaSubTrack) *
                           (Data[UC 25-50%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Data[UC 25-50% eligible w/o opt-in], _xlpm.criteriaUCCondition
                            )
                        )
                    )
                )
            )
        )
    ),
    0
)</f>
        <v>0</v>
      </c>
      <c r="I18" s="19" cm="1">
        <f t="array" ref="I18">IFERROR(
    _xlfn.LET(
        _xlpm.combinedCondition, (Data[Sub-Track]=C18) *
                           (Data[UC 75% eligible w/o opt-in]=TRUE),
        _xlpm.filteredCRPartyIDs, _xlfn._xlws.FILTER(Data[CR Party ID], _xlpm.combinedCondition),
        _xlpm.uniqueIDs, _xlfn.UNIQUE(_xlpm.filteredCRPartyIDs),
        ROWS(_xlpm.uniqueIDs)
    ),
    0
)</f>
        <v>0</v>
      </c>
      <c r="J18" s="11" cm="1">
        <f t="array" ref="J18">IFERROR(
    _xlfn.LET(
        _xlpm.criteriaTrack, B18,
        _xlpm.criteriaSubTrack, C18,
        _xlpm.criteriaUCCondition, TRUE,
        _xlpm.combinedCondition, (Data[Track]=_xlpm.criteriaTrack) *
                           (Data[Sub-Track]=_xlpm.criteriaSubTrack) *
                           (Data[UC 75%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Data[Missed Incentives],
                                Data[CRPartyID-Offer], _xlpm.currentPair,
                                Data[Track], _xlpm.criteriaTrack,
                                Data[Sub-Track], _xlpm.criteriaSubTrack,
                                Data[UC 75% eligible w/o opt-in], _xlpm.criteriaUCCondition
                            )
                        )
                    )
                )
            )
        )
    ),
    0
)</f>
        <v>0</v>
      </c>
      <c r="K18" s="11" cm="1">
        <f t="array" ref="K18">IFERROR(
    _xlfn.LET(
        _xlpm.criteriaTrack, B18,
        _xlpm.criteriaSubTrack, C18,
        _xlpm.criteriaUCCondition, TRUE,
        _xlpm.combinedCondition, (Data[Track]=_xlpm.criteriaTrack) *
                           (Data[Sub-Track]=_xlpm.criteriaSubTrack) *
                           (Data[UC 75%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Data[UC 75% eligible w/o opt-in], _xlpm.criteriaUCCondition
                            )
                        )
                    )
                )
            )
        )
    ),
    0
)</f>
        <v>0</v>
      </c>
      <c r="L18" s="41" cm="1">
        <f t="array" ref="L18">IFERROR(
    _xlfn.LET(
        _xlpm.combinedCondition, (Data[Sub-Track]=C18) *
                           (Data[UC progressed and missed w/o opt-in]=TRUE),
        _xlpm.filteredCRPartyIDs, _xlfn._xlws.FILTER(Data[CR Party ID], _xlpm.combinedCondition),
        _xlpm.uniqueIDs, _xlfn.UNIQUE(_xlpm.filteredCRPartyIDs),
        ROWS(_xlpm.uniqueIDs)
    ),
    0
)</f>
        <v>0</v>
      </c>
      <c r="M18" s="42" cm="1">
        <f t="array" ref="M18">IFERROR(
    _xlfn.LET(
        _xlpm.criteriaTrack, B18,
        _xlpm.criteriaSubTrack, C18,
        _xlpm.criteriaUCCondition, TRUE,
        _xlpm.combinedCondition, (Data[Track]=_xlpm.criteriaTrack) *
                           (Data[Sub-Track]=_xlpm.criteriaSubTrack) *
                           (Data[UC progressed and missed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Data[Missed Incentives],
                                Data[CRPartyID-Offer], _xlpm.currentPair,
                                Data[Track], _xlpm.criteriaTrack,
                                Data[Sub-Track], _xlpm.criteriaSubTrack,
                                Data[UC progressed and missed w/o opt-in], _xlpm.criteriaUCCondition
                            )
                        )
                    )
                )
            )
        )
    ),
    0
)</f>
        <v>0</v>
      </c>
      <c r="N18" s="21" cm="1">
        <f t="array" ref="N18">_xlfn.LET(
    _xlpm.combinedCondition, (Data[Sub-Track]=C18) *
                       (Data[Adopt Rebate Opt-In Status]="Opted in") *
                       (Data[Stage]="Eligible"),
    SUM(_xlpm.combinedCondition)
)</f>
        <v>0</v>
      </c>
      <c r="O18" s="49" cm="1">
        <f t="array" ref="O18">IFERROR(
    _xlfn.LET(
        _xlpm.combinedCondition, (Data[Sub-Track]=C18) *
                           (Data[Adopt Rebate Opt-In Status]="Opted in") *
                           (Data[Stage]="Eligible"),
        _xlpm.filteredIncentives, _xlfn._xlws.FILTER(Data[Potential Incentives], _xlpm.combinedCondition),
        SUM(_xlpm.filteredIncentives)
    ),
    0
)</f>
        <v>0</v>
      </c>
      <c r="P18" s="21" cm="1">
        <f t="array" ref="P18">IFERROR(
    _xlfn.LET(
        _xlpm.combinedCondition, (Data[Sub-Track]=C18) *
                           (Data[Earned?]=TRUE),
        SUM(_xlpm.combinedCondition)
    ),
    0
)</f>
        <v>0</v>
      </c>
      <c r="Q18" s="203" cm="1">
        <f t="array" ref="Q18">IFERROR(
    _xlfn.LET(
        _xlpm.combinedCondition, (Data[Sub-Track]=C18),
        _xlpm.filteredIncentives, _xlfn._xlws.FILTER(Data[Estimated Earned Incentives], _xlpm.combinedCondition),
        IF(ROWS(_xlpm.filteredIncentives)=0, 0, SUM(_xlpm.filteredIncentives))
    ),
    0
)</f>
        <v>0</v>
      </c>
    </row>
    <row r="19" spans="1:17" ht="15" thickBot="1" x14ac:dyDescent="0.45">
      <c r="A19" s="124" t="str">
        <v>Security</v>
      </c>
      <c r="B19" s="5" t="str">
        <v>Cisco Umbrella</v>
      </c>
      <c r="C19" s="5" t="str">
        <v>Public Cloud Security Policy and Access</v>
      </c>
      <c r="D19" s="125" t="str">
        <v>Advanced</v>
      </c>
      <c r="E19" s="213" cm="1">
        <f t="array" ref="E19">IFERROR(
    _xlfn.LET(
        _xlpm.filteredCRPartyIDs, _xlfn._xlws.FILTER(
                                Data[CR Party ID],
                                (Data[Sub-Track]=C19) *
                                (Data[Offer opted-in?]=FALSE) *
                                (Data[Stage]="Eligible")
                            ),
        _xlpm.uniqueIDs, _xlfn.UNIQUE(_xlpm.filteredCRPartyIDs),
        ROWS(_xlpm.uniqueIDs)
    ),
    0
)</f>
        <v>0</v>
      </c>
      <c r="F19" s="36" cm="1">
        <f t="array" ref="F19">IFERROR(
    _xlfn.LET(
        _xlpm.criteriaTrack, B19,
        _xlpm.criteriaSubTrack, C19,
        _xlpm.criteriaStage, "Eligible",
        _xlpm.criteriaOfferOptedIn, FALSE,
        _xlpm.combinedCondition, (Data[Track]=_xlpm.criteriaTrack) *
                           (Data[Sub-Track]=_xlpm.criteriaSubTrack) *
                           (Data[Stage]=_xlpm.criteriaStage) *
                           (Data[Offer opted-in?]=_xlpm.criteriaOfferOptedIn),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Data[Stage], _xlpm.criteriaStage,
                                Data[Offer opted-in?], _xlpm.criteriaOfferOptedIn
                            )
                        )
                    )
                )
            )
        )
    ),
    0
)</f>
        <v>0</v>
      </c>
      <c r="G19" s="23" cm="1">
        <f t="array" ref="G19">IFERROR(
    _xlfn.LET(
        _xlpm.combinedCondition, (Data[Sub-Track]=C19) *
                           (Data[UC 25-50% eligible w/o opt-in]=TRUE),
        _xlpm.filteredCRPartyIDs, _xlfn._xlws.FILTER(Data[CR Party ID], _xlpm.combinedCondition),
        _xlpm.uniqueIDs, _xlfn.UNIQUE(_xlpm.filteredCRPartyIDs),
        ROWS(_xlpm.uniqueIDs)
    ),
    0
)</f>
        <v>0</v>
      </c>
      <c r="H19" s="16" cm="1">
        <f t="array" ref="H19">IFERROR(
    _xlfn.LET(
        _xlpm.criteriaTrack, B19,
        _xlpm.criteriaSubTrack, C19,
        _xlpm.criteriaUCCondition, TRUE,
        _xlpm.combinedCondition, (Data[Track]=_xlpm.criteriaTrack) *
                           (Data[Sub-Track]=_xlpm.criteriaSubTrack) *
                           (Data[UC 25-50%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Data[UC 25-50% eligible w/o opt-in], _xlpm.criteriaUCCondition
                            )
                        )
                    )
                )
            )
        )
    ),
    0
)</f>
        <v>0</v>
      </c>
      <c r="I19" s="22" cm="1">
        <f t="array" ref="I19">IFERROR(
    _xlfn.LET(
        _xlpm.combinedCondition, (Data[Sub-Track]=C19) *
                           (Data[UC 75% eligible w/o opt-in]=TRUE),
        _xlpm.filteredCRPartyIDs, _xlfn._xlws.FILTER(Data[CR Party ID], _xlpm.combinedCondition),
        _xlpm.uniqueIDs, _xlfn.UNIQUE(_xlpm.filteredCRPartyIDs),
        ROWS(_xlpm.uniqueIDs)
    ),
    0
)</f>
        <v>0</v>
      </c>
      <c r="J19" s="12" cm="1">
        <f t="array" ref="J19">IFERROR(
    _xlfn.LET(
        _xlpm.criteriaTrack, B19,
        _xlpm.criteriaSubTrack, C19,
        _xlpm.criteriaUCCondition, TRUE,
        _xlpm.combinedCondition, (Data[Track]=_xlpm.criteriaTrack) *
                           (Data[Sub-Track]=_xlpm.criteriaSubTrack) *
                           (Data[UC 75%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Data[Missed Incentives],
                                Data[CRPartyID-Offer], _xlpm.currentPair,
                                Data[Track], _xlpm.criteriaTrack,
                                Data[Sub-Track], _xlpm.criteriaSubTrack,
                                Data[UC 75% eligible w/o opt-in], _xlpm.criteriaUCCondition
                            )
                        )
                    )
                )
            )
        )
    ),
    0
)</f>
        <v>0</v>
      </c>
      <c r="K19" s="12" cm="1">
        <f t="array" ref="K19">IFERROR(
    _xlfn.LET(
        _xlpm.criteriaTrack, B19,
        _xlpm.criteriaSubTrack, C19,
        _xlpm.criteriaUCCondition, TRUE,
        _xlpm.combinedCondition, (Data[Track]=_xlpm.criteriaTrack) *
                           (Data[Sub-Track]=_xlpm.criteriaSubTrack) *
                           (Data[UC 75%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Data[UC 75% eligible w/o opt-in], _xlpm.criteriaUCCondition
                            )
                        )
                    )
                )
            )
        )
    ),
    0
)</f>
        <v>0</v>
      </c>
      <c r="L19" s="43" cm="1">
        <f t="array" ref="L19">IFERROR(
    _xlfn.LET(
        _xlpm.combinedCondition, (Data[Sub-Track]=C19) *
                           (Data[UC progressed and missed w/o opt-in]=TRUE),
        _xlpm.filteredCRPartyIDs, _xlfn._xlws.FILTER(Data[CR Party ID], _xlpm.combinedCondition),
        _xlpm.uniqueIDs, _xlfn.UNIQUE(_xlpm.filteredCRPartyIDs),
        ROWS(_xlpm.uniqueIDs)
    ),
    0
)</f>
        <v>0</v>
      </c>
      <c r="M19" s="44" cm="1">
        <f t="array" ref="M19">IFERROR(
    _xlfn.LET(
        _xlpm.criteriaTrack, B19,
        _xlpm.criteriaSubTrack, C19,
        _xlpm.criteriaUCCondition, TRUE,
        _xlpm.combinedCondition, (Data[Track]=_xlpm.criteriaTrack) *
                           (Data[Sub-Track]=_xlpm.criteriaSubTrack) *
                           (Data[UC progressed and missed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Data[Missed Incentives],
                                Data[CRPartyID-Offer], _xlpm.currentPair,
                                Data[Track], _xlpm.criteriaTrack,
                                Data[Sub-Track], _xlpm.criteriaSubTrack,
                                Data[UC progressed and missed w/o opt-in], _xlpm.criteriaUCCondition
                            )
                        )
                    )
                )
            )
        )
    ),
    0
)</f>
        <v>0</v>
      </c>
      <c r="N19" s="24" cm="1">
        <f t="array" ref="N19">_xlfn.LET(
    _xlpm.combinedCondition, (Data[Sub-Track]=C19) *
                       (Data[Adopt Rebate Opt-In Status]="Opted in") *
                       (Data[Stage]="Eligible"),
    SUM(_xlpm.combinedCondition)
)</f>
        <v>0</v>
      </c>
      <c r="O19" s="48" cm="1">
        <f t="array" ref="O19">IFERROR(
    _xlfn.LET(
        _xlpm.combinedCondition, (Data[Sub-Track]=C19) *
                           (Data[Adopt Rebate Opt-In Status]="Opted in") *
                           (Data[Stage]="Eligible"),
        _xlpm.filteredIncentives, _xlfn._xlws.FILTER(Data[Potential Incentives], _xlpm.combinedCondition),
        SUM(_xlpm.filteredIncentives)
    ),
    0
)</f>
        <v>0</v>
      </c>
      <c r="P19" s="24" cm="1">
        <f t="array" ref="P19">IFERROR(
    _xlfn.LET(
        _xlpm.combinedCondition, (Data[Sub-Track]=C19) *
                           (Data[Earned?]=TRUE),
        SUM(_xlpm.combinedCondition)
    ),
    0
)</f>
        <v>0</v>
      </c>
      <c r="Q19" s="214" cm="1">
        <f t="array" ref="Q19">IFERROR(
    _xlfn.LET(
        _xlpm.combinedCondition, (Data[Sub-Track]=C19),
        _xlpm.filteredIncentives, _xlfn._xlws.FILTER(Data[Estimated Earned Incentives], _xlpm.combinedCondition),
        IF(ROWS(_xlpm.filteredIncentives)=0, 0, SUM(_xlpm.filteredIncentives))
    ),
    0
)</f>
        <v>0</v>
      </c>
    </row>
    <row r="20" spans="1:17" x14ac:dyDescent="0.4">
      <c r="A20" s="168" t="str">
        <v>Security</v>
      </c>
      <c r="B20" s="4" t="str">
        <v>Cisco Secure Firewall</v>
      </c>
      <c r="C20" s="4" t="str">
        <v>Data Center Firewall Operations</v>
      </c>
      <c r="D20" s="169" t="str">
        <v>Advanced</v>
      </c>
      <c r="E20" s="200" cm="1">
        <f t="array" ref="E20">IFERROR(
    _xlfn.LET(
        _xlpm.filteredCRPartyIDs, _xlfn._xlws.FILTER(
                                Data[CR Party ID],
                                (Data[Sub-Track]=C20) *
                                (Data[Offer opted-in?]=FALSE) *
                                (Data[Stage]="Eligible")
                            ),
        _xlpm.uniqueIDs, _xlfn.UNIQUE(_xlpm.filteredCRPartyIDs),
        ROWS(_xlpm.uniqueIDs)
    ),
    0
)</f>
        <v>0</v>
      </c>
      <c r="F20" s="35" cm="1">
        <f t="array" ref="F20">IFERROR(
    _xlfn.LET(
        _xlpm.criteriaTrack, B20,
        _xlpm.criteriaSubTrack, C20,
        _xlpm.criteriaStage, "Eligible",
        _xlpm.criteriaOfferOptedIn, FALSE,
        _xlpm.combinedCondition, (Data[Track]=_xlpm.criteriaTrack) *
                           (Data[Sub-Track]=_xlpm.criteriaSubTrack) *
                           (Data[Stage]=_xlpm.criteriaStage) *
                           (Data[Offer opted-in?]=_xlpm.criteriaOfferOptedIn),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Data[Stage], _xlpm.criteriaStage,
                                Data[Offer opted-in?], _xlpm.criteriaOfferOptedIn
                            )
                        )
                    )
                )
            )
        )
    ),
    0
)</f>
        <v>0</v>
      </c>
      <c r="G20" s="20" cm="1">
        <f t="array" ref="G20">IFERROR(
    _xlfn.LET(
        _xlpm.combinedCondition, (Data[Sub-Track]=C20) *
                           (Data[UC 25-50% eligible w/o opt-in]=TRUE),
        _xlpm.filteredCRPartyIDs, _xlfn._xlws.FILTER(Data[CR Party ID], _xlpm.combinedCondition),
        _xlpm.uniqueIDs, _xlfn.UNIQUE(_xlpm.filteredCRPartyIDs),
        ROWS(_xlpm.uniqueIDs)
    ),
    0
)</f>
        <v>0</v>
      </c>
      <c r="H20" s="15" cm="1">
        <f t="array" ref="H20">IFERROR(
    _xlfn.LET(
        _xlpm.criteriaTrack, B20,
        _xlpm.criteriaSubTrack, C20,
        _xlpm.criteriaUCCondition, TRUE,
        _xlpm.combinedCondition, (Data[Track]=_xlpm.criteriaTrack) *
                           (Data[Sub-Track]=_xlpm.criteriaSubTrack) *
                           (Data[UC 25-50%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Data[UC 25-50% eligible w/o opt-in], _xlpm.criteriaUCCondition
                            )
                        )
                    )
                )
            )
        )
    ),
    0
)</f>
        <v>0</v>
      </c>
      <c r="I20" s="19" cm="1">
        <f t="array" ref="I20">IFERROR(
    _xlfn.LET(
        _xlpm.combinedCondition, (Data[Sub-Track]=C20) *
                           (Data[UC 75% eligible w/o opt-in]=TRUE),
        _xlpm.filteredCRPartyIDs, _xlfn._xlws.FILTER(Data[CR Party ID], _xlpm.combinedCondition),
        _xlpm.uniqueIDs, _xlfn.UNIQUE(_xlpm.filteredCRPartyIDs),
        ROWS(_xlpm.uniqueIDs)
    ),
    0
)</f>
        <v>0</v>
      </c>
      <c r="J20" s="11" cm="1">
        <f t="array" ref="J20">IFERROR(
    _xlfn.LET(
        _xlpm.criteriaTrack, B20,
        _xlpm.criteriaSubTrack, C20,
        _xlpm.criteriaUCCondition, TRUE,
        _xlpm.combinedCondition, (Data[Track]=_xlpm.criteriaTrack) *
                           (Data[Sub-Track]=_xlpm.criteriaSubTrack) *
                           (Data[UC 75%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Data[Missed Incentives],
                                Data[CRPartyID-Offer], _xlpm.currentPair,
                                Data[Track], _xlpm.criteriaTrack,
                                Data[Sub-Track], _xlpm.criteriaSubTrack,
                                Data[UC 75% eligible w/o opt-in], _xlpm.criteriaUCCondition
                            )
                        )
                    )
                )
            )
        )
    ),
    0
)</f>
        <v>0</v>
      </c>
      <c r="K20" s="11" cm="1">
        <f t="array" ref="K20">IFERROR(
    _xlfn.LET(
        _xlpm.criteriaTrack, B20,
        _xlpm.criteriaSubTrack, C20,
        _xlpm.criteriaUCCondition, TRUE,
        _xlpm.combinedCondition, (Data[Track]=_xlpm.criteriaTrack) *
                           (Data[Sub-Track]=_xlpm.criteriaSubTrack) *
                           (Data[UC 75%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Data[UC 75% eligible w/o opt-in], _xlpm.criteriaUCCondition
                            )
                        )
                    )
                )
            )
        )
    ),
    0
)</f>
        <v>0</v>
      </c>
      <c r="L20" s="41" cm="1">
        <f t="array" ref="L20">IFERROR(
    _xlfn.LET(
        _xlpm.combinedCondition, (Data[Sub-Track]=C20) *
                           (Data[UC progressed and missed w/o opt-in]=TRUE),
        _xlpm.filteredCRPartyIDs, _xlfn._xlws.FILTER(Data[CR Party ID], _xlpm.combinedCondition),
        _xlpm.uniqueIDs, _xlfn.UNIQUE(_xlpm.filteredCRPartyIDs),
        ROWS(_xlpm.uniqueIDs)
    ),
    0
)</f>
        <v>0</v>
      </c>
      <c r="M20" s="42" cm="1">
        <f t="array" ref="M20">IFERROR(
    _xlfn.LET(
        _xlpm.criteriaTrack, B20,
        _xlpm.criteriaSubTrack, C20,
        _xlpm.criteriaUCCondition, TRUE,
        _xlpm.combinedCondition, (Data[Track]=_xlpm.criteriaTrack) *
                           (Data[Sub-Track]=_xlpm.criteriaSubTrack) *
                           (Data[UC progressed and missed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Data[Missed Incentives],
                                Data[CRPartyID-Offer], _xlpm.currentPair,
                                Data[Track], _xlpm.criteriaTrack,
                                Data[Sub-Track], _xlpm.criteriaSubTrack,
                                Data[UC progressed and missed w/o opt-in], _xlpm.criteriaUCCondition
                            )
                        )
                    )
                )
            )
        )
    ),
    0
)</f>
        <v>0</v>
      </c>
      <c r="N20" s="21" cm="1">
        <f t="array" ref="N20">_xlfn.LET(
    _xlpm.combinedCondition, (Data[Sub-Track]=C20) *
                       (Data[Adopt Rebate Opt-In Status]="Opted in") *
                       (Data[Stage]="Eligible"),
    SUM(_xlpm.combinedCondition)
)</f>
        <v>0</v>
      </c>
      <c r="O20" s="49" cm="1">
        <f t="array" ref="O20">IFERROR(
    _xlfn.LET(
        _xlpm.combinedCondition, (Data[Sub-Track]=C20) *
                           (Data[Adopt Rebate Opt-In Status]="Opted in") *
                           (Data[Stage]="Eligible"),
        _xlpm.filteredIncentives, _xlfn._xlws.FILTER(Data[Potential Incentives], _xlpm.combinedCondition),
        SUM(_xlpm.filteredIncentives)
    ),
    0
)</f>
        <v>0</v>
      </c>
      <c r="P20" s="21" cm="1">
        <f t="array" ref="P20">IFERROR(
    _xlfn.LET(
        _xlpm.combinedCondition, (Data[Sub-Track]=C20) *
                           (Data[Earned?]=TRUE),
        SUM(_xlpm.combinedCondition)
    ),
    0
)</f>
        <v>0</v>
      </c>
      <c r="Q20" s="203" cm="1">
        <f t="array" ref="Q20">IFERROR(
    _xlfn.LET(
        _xlpm.combinedCondition, (Data[Sub-Track]=C20),
        _xlpm.filteredIncentives, _xlfn._xlws.FILTER(Data[Estimated Earned Incentives], _xlpm.combinedCondition),
        IF(ROWS(_xlpm.filteredIncentives)=0, 0, SUM(_xlpm.filteredIncentives))
    ),
    0
)</f>
        <v>0</v>
      </c>
    </row>
    <row r="21" spans="1:17" ht="15" thickBot="1" x14ac:dyDescent="0.45">
      <c r="A21" s="124" t="str">
        <v>Security</v>
      </c>
      <c r="B21" s="5" t="str">
        <v>Cisco Secure Firewall</v>
      </c>
      <c r="C21" s="5" t="str">
        <v>Internet Edge Protection</v>
      </c>
      <c r="D21" s="125" t="str">
        <v>Advanced</v>
      </c>
      <c r="E21" s="213" cm="1">
        <f t="array" ref="E21">IFERROR(
    _xlfn.LET(
        _xlpm.filteredCRPartyIDs, _xlfn._xlws.FILTER(
                                Data[CR Party ID],
                                (Data[Sub-Track]=C21) *
                                (Data[Offer opted-in?]=FALSE) *
                                (Data[Stage]="Eligible")
                            ),
        _xlpm.uniqueIDs, _xlfn.UNIQUE(_xlpm.filteredCRPartyIDs),
        ROWS(_xlpm.uniqueIDs)
    ),
    0
)</f>
        <v>0</v>
      </c>
      <c r="F21" s="36" cm="1">
        <f t="array" ref="F21">IFERROR(
    _xlfn.LET(
        _xlpm.criteriaTrack, B21,
        _xlpm.criteriaSubTrack, C21,
        _xlpm.criteriaStage, "Eligible",
        _xlpm.criteriaOfferOptedIn, FALSE,
        _xlpm.combinedCondition, (Data[Track]=_xlpm.criteriaTrack) *
                           (Data[Sub-Track]=_xlpm.criteriaSubTrack) *
                           (Data[Stage]=_xlpm.criteriaStage) *
                           (Data[Offer opted-in?]=_xlpm.criteriaOfferOptedIn),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Data[Stage], _xlpm.criteriaStage,
                                Data[Offer opted-in?], _xlpm.criteriaOfferOptedIn
                            )
                        )
                    )
                )
            )
        )
    ),
    0
)</f>
        <v>0</v>
      </c>
      <c r="G21" s="23" cm="1">
        <f t="array" ref="G21">IFERROR(
    _xlfn.LET(
        _xlpm.combinedCondition, (Data[Sub-Track]=C21) *
                           (Data[UC 25-50% eligible w/o opt-in]=TRUE),
        _xlpm.filteredCRPartyIDs, _xlfn._xlws.FILTER(Data[CR Party ID], _xlpm.combinedCondition),
        _xlpm.uniqueIDs, _xlfn.UNIQUE(_xlpm.filteredCRPartyIDs),
        ROWS(_xlpm.uniqueIDs)
    ),
    0
)</f>
        <v>0</v>
      </c>
      <c r="H21" s="16" cm="1">
        <f t="array" ref="H21">IFERROR(
    _xlfn.LET(
        _xlpm.criteriaTrack, B21,
        _xlpm.criteriaSubTrack, C21,
        _xlpm.criteriaUCCondition, TRUE,
        _xlpm.combinedCondition, (Data[Track]=_xlpm.criteriaTrack) *
                           (Data[Sub-Track]=_xlpm.criteriaSubTrack) *
                           (Data[UC 25-50%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Data[UC 25-50% eligible w/o opt-in], _xlpm.criteriaUCCondition
                            )
                        )
                    )
                )
            )
        )
    ),
    0
)</f>
        <v>0</v>
      </c>
      <c r="I21" s="22" cm="1">
        <f t="array" ref="I21">IFERROR(
    _xlfn.LET(
        _xlpm.combinedCondition, (Data[Sub-Track]=C21) *
                           (Data[UC 75% eligible w/o opt-in]=TRUE),
        _xlpm.filteredCRPartyIDs, _xlfn._xlws.FILTER(Data[CR Party ID], _xlpm.combinedCondition),
        _xlpm.uniqueIDs, _xlfn.UNIQUE(_xlpm.filteredCRPartyIDs),
        ROWS(_xlpm.uniqueIDs)
    ),
    0
)</f>
        <v>0</v>
      </c>
      <c r="J21" s="12" cm="1">
        <f t="array" ref="J21">IFERROR(
    _xlfn.LET(
        _xlpm.criteriaTrack, B21,
        _xlpm.criteriaSubTrack, C21,
        _xlpm.criteriaUCCondition, TRUE,
        _xlpm.combinedCondition, (Data[Track]=_xlpm.criteriaTrack) *
                           (Data[Sub-Track]=_xlpm.criteriaSubTrack) *
                           (Data[UC 75%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Data[Missed Incentives],
                                Data[CRPartyID-Offer], _xlpm.currentPair,
                                Data[Track], _xlpm.criteriaTrack,
                                Data[Sub-Track], _xlpm.criteriaSubTrack,
                                Data[UC 75% eligible w/o opt-in], _xlpm.criteriaUCCondition
                            )
                        )
                    )
                )
            )
        )
    ),
    0
)</f>
        <v>0</v>
      </c>
      <c r="K21" s="12" cm="1">
        <f t="array" ref="K21">IFERROR(
    _xlfn.LET(
        _xlpm.criteriaTrack, B21,
        _xlpm.criteriaSubTrack, C21,
        _xlpm.criteriaUCCondition, TRUE,
        _xlpm.combinedCondition, (Data[Track]=_xlpm.criteriaTrack) *
                           (Data[Sub-Track]=_xlpm.criteriaSubTrack) *
                           (Data[UC 75%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Data[UC 75% eligible w/o opt-in], _xlpm.criteriaUCCondition
                            )
                        )
                    )
                )
            )
        )
    ),
    0
)</f>
        <v>0</v>
      </c>
      <c r="L21" s="43" cm="1">
        <f t="array" ref="L21">IFERROR(
    _xlfn.LET(
        _xlpm.combinedCondition, (Data[Sub-Track]=C21) *
                           (Data[UC progressed and missed w/o opt-in]=TRUE),
        _xlpm.filteredCRPartyIDs, _xlfn._xlws.FILTER(Data[CR Party ID], _xlpm.combinedCondition),
        _xlpm.uniqueIDs, _xlfn.UNIQUE(_xlpm.filteredCRPartyIDs),
        ROWS(_xlpm.uniqueIDs)
    ),
    0
)</f>
        <v>0</v>
      </c>
      <c r="M21" s="44" cm="1">
        <f t="array" ref="M21">IFERROR(
    _xlfn.LET(
        _xlpm.criteriaTrack, B21,
        _xlpm.criteriaSubTrack, C21,
        _xlpm.criteriaUCCondition, TRUE,
        _xlpm.combinedCondition, (Data[Track]=_xlpm.criteriaTrack) *
                           (Data[Sub-Track]=_xlpm.criteriaSubTrack) *
                           (Data[UC progressed and missed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Data[Missed Incentives],
                                Data[CRPartyID-Offer], _xlpm.currentPair,
                                Data[Track], _xlpm.criteriaTrack,
                                Data[Sub-Track], _xlpm.criteriaSubTrack,
                                Data[UC progressed and missed w/o opt-in], _xlpm.criteriaUCCondition
                            )
                        )
                    )
                )
            )
        )
    ),
    0
)</f>
        <v>0</v>
      </c>
      <c r="N21" s="24" cm="1">
        <f t="array" ref="N21">_xlfn.LET(
    _xlpm.combinedCondition, (Data[Sub-Track]=C21) *
                       (Data[Adopt Rebate Opt-In Status]="Opted in") *
                       (Data[Stage]="Eligible"),
    SUM(_xlpm.combinedCondition)
)</f>
        <v>0</v>
      </c>
      <c r="O21" s="48" cm="1">
        <f t="array" ref="O21">IFERROR(
    _xlfn.LET(
        _xlpm.combinedCondition, (Data[Sub-Track]=C21) *
                           (Data[Adopt Rebate Opt-In Status]="Opted in") *
                           (Data[Stage]="Eligible"),
        _xlpm.filteredIncentives, _xlfn._xlws.FILTER(Data[Potential Incentives], _xlpm.combinedCondition),
        SUM(_xlpm.filteredIncentives)
    ),
    0
)</f>
        <v>0</v>
      </c>
      <c r="P21" s="24" cm="1">
        <f t="array" ref="P21">IFERROR(
    _xlfn.LET(
        _xlpm.combinedCondition, (Data[Sub-Track]=C21) *
                           (Data[Earned?]=TRUE),
        SUM(_xlpm.combinedCondition)
    ),
    0
)</f>
        <v>0</v>
      </c>
      <c r="Q21" s="214" cm="1">
        <f t="array" ref="Q21">IFERROR(
    _xlfn.LET(
        _xlpm.combinedCondition, (Data[Sub-Track]=C21),
        _xlpm.filteredIncentives, _xlfn._xlws.FILTER(Data[Estimated Earned Incentives], _xlpm.combinedCondition),
        IF(ROWS(_xlpm.filteredIncentives)=0, 0, SUM(_xlpm.filteredIncentives))
    ),
    0
)</f>
        <v>0</v>
      </c>
    </row>
    <row r="22" spans="1:17" ht="15" thickBot="1" x14ac:dyDescent="0.45">
      <c r="A22" s="170" t="str">
        <v>Security</v>
      </c>
      <c r="B22" s="6" t="str">
        <v>Identity Services Engine</v>
      </c>
      <c r="C22" s="6" t="str">
        <v>Network Access Control</v>
      </c>
      <c r="D22" s="171" t="str">
        <v>Standard</v>
      </c>
      <c r="E22" s="213" cm="1">
        <f t="array" ref="E22">IFERROR(
    _xlfn.LET(
        _xlpm.filteredCRPartyIDs, _xlfn._xlws.FILTER(
                                Data[CR Party ID],
                                (Data[Sub-Track]=C22) *
                                (Data[Offer opted-in?]=FALSE) *
                                (Data[Stage]="Eligible")
                            ),
        _xlpm.uniqueIDs, _xlfn.UNIQUE(_xlpm.filteredCRPartyIDs),
        ROWS(_xlpm.uniqueIDs)
    ),
    0
)</f>
        <v>0</v>
      </c>
      <c r="F22" s="36" cm="1">
        <f t="array" ref="F22">IFERROR(
    _xlfn.LET(
        _xlpm.criteriaTrack, B22,
        _xlpm.criteriaSubTrack, C22,
        _xlpm.criteriaStage, "Eligible",
        _xlpm.criteriaOfferOptedIn, FALSE,
        _xlpm.combinedCondition, (Data[Track]=_xlpm.criteriaTrack) *
                           (Data[Sub-Track]=_xlpm.criteriaSubTrack) *
                           (Data[Stage]=_xlpm.criteriaStage) *
                           (Data[Offer opted-in?]=_xlpm.criteriaOfferOptedIn),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Data[Stage], _xlpm.criteriaStage,
                                Data[Offer opted-in?], _xlpm.criteriaOfferOptedIn
                            )
                        )
                    )
                )
            )
        )
    ),
    0
)</f>
        <v>0</v>
      </c>
      <c r="G22" s="23" cm="1">
        <f t="array" ref="G22">IFERROR(
    _xlfn.LET(
        _xlpm.combinedCondition, (Data[Sub-Track]=C22) *
                           (Data[UC 25-50% eligible w/o opt-in]=TRUE),
        _xlpm.filteredCRPartyIDs, _xlfn._xlws.FILTER(Data[CR Party ID], _xlpm.combinedCondition),
        _xlpm.uniqueIDs, _xlfn.UNIQUE(_xlpm.filteredCRPartyIDs),
        ROWS(_xlpm.uniqueIDs)
    ),
    0
)</f>
        <v>0</v>
      </c>
      <c r="H22" s="16" cm="1">
        <f t="array" ref="H22">IFERROR(
    _xlfn.LET(
        _xlpm.criteriaTrack, B22,
        _xlpm.criteriaSubTrack, C22,
        _xlpm.criteriaUCCondition, TRUE,
        _xlpm.combinedCondition, (Data[Track]=_xlpm.criteriaTrack) *
                           (Data[Sub-Track]=_xlpm.criteriaSubTrack) *
                           (Data[UC 25-50%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Data[UC 25-50% eligible w/o opt-in], _xlpm.criteriaUCCondition
                            )
                        )
                    )
                )
            )
        )
    ),
    0
)</f>
        <v>0</v>
      </c>
      <c r="I22" s="22" cm="1">
        <f t="array" ref="I22">IFERROR(
    _xlfn.LET(
        _xlpm.combinedCondition, (Data[Sub-Track]=C22) *
                           (Data[UC 75% eligible w/o opt-in]=TRUE),
        _xlpm.filteredCRPartyIDs, _xlfn._xlws.FILTER(Data[CR Party ID], _xlpm.combinedCondition),
        _xlpm.uniqueIDs, _xlfn.UNIQUE(_xlpm.filteredCRPartyIDs),
        ROWS(_xlpm.uniqueIDs)
    ),
    0
)</f>
        <v>0</v>
      </c>
      <c r="J22" s="12" cm="1">
        <f t="array" ref="J22">IFERROR(
    _xlfn.LET(
        _xlpm.criteriaTrack, B22,
        _xlpm.criteriaSubTrack, C22,
        _xlpm.criteriaUCCondition, TRUE,
        _xlpm.combinedCondition, (Data[Track]=_xlpm.criteriaTrack) *
                           (Data[Sub-Track]=_xlpm.criteriaSubTrack) *
                           (Data[UC 75%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Data[Missed Incentives],
                                Data[CRPartyID-Offer], _xlpm.currentPair,
                                Data[Track], _xlpm.criteriaTrack,
                                Data[Sub-Track], _xlpm.criteriaSubTrack,
                                Data[UC 75% eligible w/o opt-in], _xlpm.criteriaUCCondition
                            )
                        )
                    )
                )
            )
        )
    ),
    0
)</f>
        <v>0</v>
      </c>
      <c r="K22" s="12" cm="1">
        <f t="array" ref="K22">IFERROR(
    _xlfn.LET(
        _xlpm.criteriaTrack, B22,
        _xlpm.criteriaSubTrack, C22,
        _xlpm.criteriaUCCondition, TRUE,
        _xlpm.combinedCondition, (Data[Track]=_xlpm.criteriaTrack) *
                           (Data[Sub-Track]=_xlpm.criteriaSubTrack) *
                           (Data[UC 75%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Data[UC 75% eligible w/o opt-in], _xlpm.criteriaUCCondition
                            )
                        )
                    )
                )
            )
        )
    ),
    0
)</f>
        <v>0</v>
      </c>
      <c r="L22" s="43" cm="1">
        <f t="array" ref="L22">IFERROR(
    _xlfn.LET(
        _xlpm.combinedCondition, (Data[Sub-Track]=C22) *
                           (Data[UC progressed and missed w/o opt-in]=TRUE),
        _xlpm.filteredCRPartyIDs, _xlfn._xlws.FILTER(Data[CR Party ID], _xlpm.combinedCondition),
        _xlpm.uniqueIDs, _xlfn.UNIQUE(_xlpm.filteredCRPartyIDs),
        ROWS(_xlpm.uniqueIDs)
    ),
    0
)</f>
        <v>0</v>
      </c>
      <c r="M22" s="44" cm="1">
        <f t="array" ref="M22">IFERROR(
    _xlfn.LET(
        _xlpm.criteriaTrack, B22,
        _xlpm.criteriaSubTrack, C22,
        _xlpm.criteriaUCCondition, TRUE,
        _xlpm.combinedCondition, (Data[Track]=_xlpm.criteriaTrack) *
                           (Data[Sub-Track]=_xlpm.criteriaSubTrack) *
                           (Data[UC progressed and missed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Data[Missed Incentives],
                                Data[CRPartyID-Offer], _xlpm.currentPair,
                                Data[Track], _xlpm.criteriaTrack,
                                Data[Sub-Track], _xlpm.criteriaSubTrack,
                                Data[UC progressed and missed w/o opt-in], _xlpm.criteriaUCCondition
                            )
                        )
                    )
                )
            )
        )
    ),
    0
)</f>
        <v>0</v>
      </c>
      <c r="N22" s="24" cm="1">
        <f t="array" ref="N22">_xlfn.LET(
    _xlpm.combinedCondition, (Data[Sub-Track]=C22) *
                       (Data[Adopt Rebate Opt-In Status]="Opted in") *
                       (Data[Stage]="Eligible"),
    SUM(_xlpm.combinedCondition)
)</f>
        <v>0</v>
      </c>
      <c r="O22" s="48" cm="1">
        <f t="array" ref="O22">IFERROR(
    _xlfn.LET(
        _xlpm.combinedCondition, (Data[Sub-Track]=C22) *
                           (Data[Adopt Rebate Opt-In Status]="Opted in") *
                           (Data[Stage]="Eligible"),
        _xlpm.filteredIncentives, _xlfn._xlws.FILTER(Data[Potential Incentives], _xlpm.combinedCondition),
        SUM(_xlpm.filteredIncentives)
    ),
    0
)</f>
        <v>0</v>
      </c>
      <c r="P22" s="24" cm="1">
        <f t="array" ref="P22">IFERROR(
    _xlfn.LET(
        _xlpm.combinedCondition, (Data[Sub-Track]=C22) *
                           (Data[Earned?]=TRUE),
        SUM(_xlpm.combinedCondition)
    ),
    0
)</f>
        <v>0</v>
      </c>
      <c r="Q22" s="214" cm="1">
        <f t="array" ref="Q22">IFERROR(
    _xlfn.LET(
        _xlpm.combinedCondition, (Data[Sub-Track]=C22),
        _xlpm.filteredIncentives, _xlfn._xlws.FILTER(Data[Estimated Earned Incentives], _xlpm.combinedCondition),
        IF(ROWS(_xlpm.filteredIncentives)=0, 0, SUM(_xlpm.filteredIncentives))
    ),
    0
)</f>
        <v>0</v>
      </c>
    </row>
    <row r="23" spans="1:17" ht="15" thickBot="1" x14ac:dyDescent="0.45">
      <c r="A23" s="170" t="str">
        <v>Cloud + AI Infrastructure</v>
      </c>
      <c r="B23" s="6" t="str">
        <v>Cisco Intersight</v>
      </c>
      <c r="C23" s="6" t="str">
        <v>Simplified Operations</v>
      </c>
      <c r="D23" s="171" t="str">
        <v>Standard</v>
      </c>
      <c r="E23" s="215" cm="1">
        <f t="array" ref="E23">IFERROR(
    _xlfn.LET(
        _xlpm.filteredCRPartyIDs, _xlfn._xlws.FILTER(
                                Data[CR Party ID],
                                (Data[Sub-Track]=C23) *
                                (Data[Offer opted-in?]=FALSE) *
                                (Data[Stage]="Eligible")
                            ),
        _xlpm.uniqueIDs, _xlfn.UNIQUE(_xlpm.filteredCRPartyIDs),
        ROWS(_xlpm.uniqueIDs)
    ),
    0
)</f>
        <v>0</v>
      </c>
      <c r="F23" s="37" cm="1">
        <f t="array" ref="F23">IFERROR(
    _xlfn.LET(
        _xlpm.criteriaTrack, B23,
        _xlpm.criteriaSubTrack, C23,
        _xlpm.criteriaStage, "Eligible",
        _xlpm.criteriaOfferOptedIn, FALSE,
        _xlpm.combinedCondition, (Data[Track]=_xlpm.criteriaTrack) *
                           (Data[Sub-Track]=_xlpm.criteriaSubTrack) *
                           (Data[Stage]=_xlpm.criteriaStage) *
                           (Data[Offer opted-in?]=_xlpm.criteriaOfferOptedIn),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Data[Stage], _xlpm.criteriaStage,
                                Data[Offer opted-in?], _xlpm.criteriaOfferOptedIn
                            )
                        )
                    )
                )
            )
        )
    ),
    0
)</f>
        <v>0</v>
      </c>
      <c r="G23" s="26" cm="1">
        <f t="array" ref="G23">IFERROR(
    _xlfn.LET(
        _xlpm.combinedCondition, (Data[Sub-Track]=C23) *
                           (Data[UC 25-50% eligible w/o opt-in]=TRUE),
        _xlpm.filteredCRPartyIDs, _xlfn._xlws.FILTER(Data[CR Party ID], _xlpm.combinedCondition),
        _xlpm.uniqueIDs, _xlfn.UNIQUE(_xlpm.filteredCRPartyIDs),
        ROWS(_xlpm.uniqueIDs)
    ),
    0
)</f>
        <v>0</v>
      </c>
      <c r="H23" s="17" cm="1">
        <f t="array" ref="H23">IFERROR(
    _xlfn.LET(
        _xlpm.criteriaTrack, B23,
        _xlpm.criteriaSubTrack, C23,
        _xlpm.criteriaUCCondition, TRUE,
        _xlpm.combinedCondition, (Data[Track]=_xlpm.criteriaTrack) *
                           (Data[Sub-Track]=_xlpm.criteriaSubTrack) *
                           (Data[UC 25-50%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Data[UC 25-50% eligible w/o opt-in], _xlpm.criteriaUCCondition
                            )
                        )
                    )
                )
            )
        )
    ),
    0
)</f>
        <v>0</v>
      </c>
      <c r="I23" s="25" cm="1">
        <f t="array" ref="I23">IFERROR(
    _xlfn.LET(
        _xlpm.combinedCondition, (Data[Sub-Track]=C23) *
                           (Data[UC 75% eligible w/o opt-in]=TRUE),
        _xlpm.filteredCRPartyIDs, _xlfn._xlws.FILTER(Data[CR Party ID], _xlpm.combinedCondition),
        _xlpm.uniqueIDs, _xlfn.UNIQUE(_xlpm.filteredCRPartyIDs),
        ROWS(_xlpm.uniqueIDs)
    ),
    0
)</f>
        <v>0</v>
      </c>
      <c r="J23" s="13" cm="1">
        <f t="array" ref="J23">IFERROR(
    _xlfn.LET(
        _xlpm.criteriaTrack, B23,
        _xlpm.criteriaSubTrack, C23,
        _xlpm.criteriaUCCondition, TRUE,
        _xlpm.combinedCondition, (Data[Track]=_xlpm.criteriaTrack) *
                           (Data[Sub-Track]=_xlpm.criteriaSubTrack) *
                           (Data[UC 75%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Data[Missed Incentives],
                                Data[CRPartyID-Offer], _xlpm.currentPair,
                                Data[Track], _xlpm.criteriaTrack,
                                Data[Sub-Track], _xlpm.criteriaSubTrack,
                                Data[UC 75% eligible w/o opt-in], _xlpm.criteriaUCCondition
                            )
                        )
                    )
                )
            )
        )
    ),
    0
)</f>
        <v>0</v>
      </c>
      <c r="K23" s="13" cm="1">
        <f t="array" ref="K23">IFERROR(
    _xlfn.LET(
        _xlpm.criteriaTrack, B23,
        _xlpm.criteriaSubTrack, C23,
        _xlpm.criteriaUCCondition, TRUE,
        _xlpm.combinedCondition, (Data[Track]=_xlpm.criteriaTrack) *
                           (Data[Sub-Track]=_xlpm.criteriaSubTrack) *
                           (Data[UC 75%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Data[UC 75% eligible w/o opt-in], _xlpm.criteriaUCCondition
                            )
                        )
                    )
                )
            )
        )
    ),
    0
)</f>
        <v>0</v>
      </c>
      <c r="L23" s="45" cm="1">
        <f t="array" ref="L23">IFERROR(
    _xlfn.LET(
        _xlpm.combinedCondition, (Data[Sub-Track]=C23) *
                           (Data[UC progressed and missed w/o opt-in]=TRUE),
        _xlpm.filteredCRPartyIDs, _xlfn._xlws.FILTER(Data[CR Party ID], _xlpm.combinedCondition),
        _xlpm.uniqueIDs, _xlfn.UNIQUE(_xlpm.filteredCRPartyIDs),
        ROWS(_xlpm.uniqueIDs)
    ),
    0
)</f>
        <v>0</v>
      </c>
      <c r="M23" s="46" cm="1">
        <f t="array" ref="M23">IFERROR(
    _xlfn.LET(
        _xlpm.criteriaTrack, B23,
        _xlpm.criteriaSubTrack, C23,
        _xlpm.criteriaUCCondition, TRUE,
        _xlpm.combinedCondition, (Data[Track]=_xlpm.criteriaTrack) *
                           (Data[Sub-Track]=_xlpm.criteriaSubTrack) *
                           (Data[UC progressed and missed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Data[Missed Incentives],
                                Data[CRPartyID-Offer], _xlpm.currentPair,
                                Data[Track], _xlpm.criteriaTrack,
                                Data[Sub-Track], _xlpm.criteriaSubTrack,
                                Data[UC progressed and missed w/o opt-in], _xlpm.criteriaUCCondition
                            )
                        )
                    )
                )
            )
        )
    ),
    0
)</f>
        <v>0</v>
      </c>
      <c r="N23" s="27" cm="1">
        <f t="array" ref="N23">_xlfn.LET(
    _xlpm.combinedCondition, (Data[Sub-Track]=C23) *
                       (Data[Adopt Rebate Opt-In Status]="Opted in") *
                       (Data[Stage]="Eligible"),
    SUM(_xlpm.combinedCondition)
)</f>
        <v>0</v>
      </c>
      <c r="O23" s="50" cm="1">
        <f t="array" ref="O23">IFERROR(
    _xlfn.LET(
        _xlpm.combinedCondition, (Data[Sub-Track]=C23) *
                           (Data[Adopt Rebate Opt-In Status]="Opted in") *
                           (Data[Stage]="Eligible"),
        _xlpm.filteredIncentives, _xlfn._xlws.FILTER(Data[Potential Incentives], _xlpm.combinedCondition),
        SUM(_xlpm.filteredIncentives)
    ),
    0
)</f>
        <v>0</v>
      </c>
      <c r="P23" s="27" cm="1">
        <f t="array" ref="P23">IFERROR(
    _xlfn.LET(
        _xlpm.combinedCondition, (Data[Sub-Track]=C23) *
                           (Data[Earned?]=TRUE),
        SUM(_xlpm.combinedCondition)
    ),
    0
)</f>
        <v>0</v>
      </c>
      <c r="Q23" s="216" cm="1">
        <f t="array" ref="Q23">IFERROR(
    _xlfn.LET(
        _xlpm.combinedCondition, (Data[Sub-Track]=C23),
        _xlpm.filteredIncentives, _xlfn._xlws.FILTER(Data[Estimated Earned Incentives], _xlpm.combinedCondition),
        IF(ROWS(_xlpm.filteredIncentives)=0, 0, SUM(_xlpm.filteredIncentives))
    ),
    0
)</f>
        <v>0</v>
      </c>
    </row>
    <row r="24" spans="1:17" x14ac:dyDescent="0.4">
      <c r="A24" s="168" t="str">
        <v>Cloud + AI Infrastructure</v>
      </c>
      <c r="B24" s="4" t="str">
        <v>Data Center Networking</v>
      </c>
      <c r="C24" s="4" t="str">
        <v>Data Center Network Operations</v>
      </c>
      <c r="D24" s="169" t="str">
        <v>Advanced</v>
      </c>
      <c r="E24" s="200" cm="1">
        <f t="array" ref="E24">IFERROR(
    _xlfn.LET(
        _xlpm.filteredCRPartyIDs, _xlfn._xlws.FILTER(
                                Data[CR Party ID],
                                (Data[Sub-Track]=C24) *
                                (Data[Offer opted-in?]=FALSE) *
                                (Data[Stage]="Eligible")
                            ),
        _xlpm.uniqueIDs, _xlfn.UNIQUE(_xlpm.filteredCRPartyIDs),
        ROWS(_xlpm.uniqueIDs)
    ),
    0
)</f>
        <v>0</v>
      </c>
      <c r="F24" s="35" cm="1">
        <f t="array" ref="F24">IFERROR(
    _xlfn.LET(
        _xlpm.criteriaTrack, B24,
        _xlpm.criteriaSubTrack, C24,
        _xlpm.criteriaStage, "Eligible",
        _xlpm.criteriaOfferOptedIn, FALSE,
        _xlpm.combinedCondition, (Data[Track]=_xlpm.criteriaTrack) *
                           (Data[Sub-Track]=_xlpm.criteriaSubTrack) *
                           (Data[Stage]=_xlpm.criteriaStage) *
                           (Data[Offer opted-in?]=_xlpm.criteriaOfferOptedIn),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Data[Stage], _xlpm.criteriaStage,
                                Data[Offer opted-in?], _xlpm.criteriaOfferOptedIn
                            )
                        )
                    )
                )
            )
        )
    ),
    0
)</f>
        <v>0</v>
      </c>
      <c r="G24" s="20" cm="1">
        <f t="array" ref="G24">IFERROR(
    _xlfn.LET(
        _xlpm.combinedCondition, (Data[Sub-Track]=C24) *
                           (Data[UC 25-50% eligible w/o opt-in]=TRUE),
        _xlpm.filteredCRPartyIDs, _xlfn._xlws.FILTER(Data[CR Party ID], _xlpm.combinedCondition),
        _xlpm.uniqueIDs, _xlfn.UNIQUE(_xlpm.filteredCRPartyIDs),
        ROWS(_xlpm.uniqueIDs)
    ),
    0
)</f>
        <v>0</v>
      </c>
      <c r="H24" s="15" cm="1">
        <f t="array" ref="H24">IFERROR(
    _xlfn.LET(
        _xlpm.criteriaTrack, B24,
        _xlpm.criteriaSubTrack, C24,
        _xlpm.criteriaUCCondition, TRUE,
        _xlpm.combinedCondition, (Data[Track]=_xlpm.criteriaTrack) *
                           (Data[Sub-Track]=_xlpm.criteriaSubTrack) *
                           (Data[UC 25-50%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Data[UC 25-50% eligible w/o opt-in], _xlpm.criteriaUCCondition
                            )
                        )
                    )
                )
            )
        )
    ),
    0
)</f>
        <v>0</v>
      </c>
      <c r="I24" s="19" cm="1">
        <f t="array" ref="I24">IFERROR(
    _xlfn.LET(
        _xlpm.combinedCondition, (Data[Sub-Track]=C24) *
                           (Data[UC 75% eligible w/o opt-in]=TRUE),
        _xlpm.filteredCRPartyIDs, _xlfn._xlws.FILTER(Data[CR Party ID], _xlpm.combinedCondition),
        _xlpm.uniqueIDs, _xlfn.UNIQUE(_xlpm.filteredCRPartyIDs),
        ROWS(_xlpm.uniqueIDs)
    ),
    0
)</f>
        <v>0</v>
      </c>
      <c r="J24" s="11" cm="1">
        <f t="array" ref="J24">IFERROR(
    _xlfn.LET(
        _xlpm.criteriaTrack, B24,
        _xlpm.criteriaSubTrack, C24,
        _xlpm.criteriaUCCondition, TRUE,
        _xlpm.combinedCondition, (Data[Track]=_xlpm.criteriaTrack) *
                           (Data[Sub-Track]=_xlpm.criteriaSubTrack) *
                           (Data[UC 75%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Data[Missed Incentives],
                                Data[CRPartyID-Offer], _xlpm.currentPair,
                                Data[Track], _xlpm.criteriaTrack,
                                Data[Sub-Track], _xlpm.criteriaSubTrack,
                                Data[UC 75% eligible w/o opt-in], _xlpm.criteriaUCCondition
                            )
                        )
                    )
                )
            )
        )
    ),
    0
)</f>
        <v>0</v>
      </c>
      <c r="K24" s="11" cm="1">
        <f t="array" ref="K24">IFERROR(
    _xlfn.LET(
        _xlpm.criteriaTrack, B24,
        _xlpm.criteriaSubTrack, C24,
        _xlpm.criteriaUCCondition, TRUE,
        _xlpm.combinedCondition, (Data[Track]=_xlpm.criteriaTrack) *
                           (Data[Sub-Track]=_xlpm.criteriaSubTrack) *
                           (Data[UC 75%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Data[UC 75% eligible w/o opt-in], _xlpm.criteriaUCCondition
                            )
                        )
                    )
                )
            )
        )
    ),
    0
)</f>
        <v>0</v>
      </c>
      <c r="L24" s="41" cm="1">
        <f t="array" ref="L24">IFERROR(
    _xlfn.LET(
        _xlpm.combinedCondition, (Data[Sub-Track]=C24) *
                           (Data[UC progressed and missed w/o opt-in]=TRUE),
        _xlpm.filteredCRPartyIDs, _xlfn._xlws.FILTER(Data[CR Party ID], _xlpm.combinedCondition),
        _xlpm.uniqueIDs, _xlfn.UNIQUE(_xlpm.filteredCRPartyIDs),
        ROWS(_xlpm.uniqueIDs)
    ),
    0
)</f>
        <v>0</v>
      </c>
      <c r="M24" s="42" cm="1">
        <f t="array" ref="M24">IFERROR(
    _xlfn.LET(
        _xlpm.criteriaTrack, B24,
        _xlpm.criteriaSubTrack, C24,
        _xlpm.criteriaUCCondition, TRUE,
        _xlpm.combinedCondition, (Data[Track]=_xlpm.criteriaTrack) *
                           (Data[Sub-Track]=_xlpm.criteriaSubTrack) *
                           (Data[UC progressed and missed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Data[Missed Incentives],
                                Data[CRPartyID-Offer], _xlpm.currentPair,
                                Data[Track], _xlpm.criteriaTrack,
                                Data[Sub-Track], _xlpm.criteriaSubTrack,
                                Data[UC progressed and missed w/o opt-in], _xlpm.criteriaUCCondition
                            )
                        )
                    )
                )
            )
        )
    ),
    0
)</f>
        <v>0</v>
      </c>
      <c r="N24" s="21" cm="1">
        <f t="array" ref="N24">_xlfn.LET(
    _xlpm.combinedCondition, (Data[Sub-Track]=C24) *
                       (Data[Adopt Rebate Opt-In Status]="Opted in") *
                       (Data[Stage]="Eligible"),
    SUM(_xlpm.combinedCondition)
)</f>
        <v>0</v>
      </c>
      <c r="O24" s="49" cm="1">
        <f t="array" ref="O24">IFERROR(
    _xlfn.LET(
        _xlpm.combinedCondition, (Data[Sub-Track]=C24) *
                           (Data[Adopt Rebate Opt-In Status]="Opted in") *
                           (Data[Stage]="Eligible"),
        _xlpm.filteredIncentives, _xlfn._xlws.FILTER(Data[Potential Incentives], _xlpm.combinedCondition),
        SUM(_xlpm.filteredIncentives)
    ),
    0
)</f>
        <v>0</v>
      </c>
      <c r="P24" s="21" cm="1">
        <f t="array" ref="P24">IFERROR(
    _xlfn.LET(
        _xlpm.combinedCondition, (Data[Sub-Track]=C24) *
                           (Data[Earned?]=TRUE),
        SUM(_xlpm.combinedCondition)
    ),
    0
)</f>
        <v>0</v>
      </c>
      <c r="Q24" s="203" cm="1">
        <f t="array" ref="Q24">IFERROR(
    _xlfn.LET(
        _xlpm.combinedCondition, (Data[Sub-Track]=C24),
        _xlpm.filteredIncentives, _xlfn._xlws.FILTER(Data[Estimated Earned Incentives], _xlpm.combinedCondition),
        IF(ROWS(_xlpm.filteredIncentives)=0, 0, SUM(_xlpm.filteredIncentives))
    ),
    0
)</f>
        <v>0</v>
      </c>
    </row>
    <row r="25" spans="1:17" x14ac:dyDescent="0.4">
      <c r="A25" s="120" t="str">
        <v>Cloud + AI Infrastructure</v>
      </c>
      <c r="B25" t="str">
        <v>Data Center Networking</v>
      </c>
      <c r="C25" t="str">
        <v>Distributed Networking</v>
      </c>
      <c r="D25" s="121" t="str">
        <v>Advanced</v>
      </c>
      <c r="E25" s="204" cm="1">
        <f t="array" ref="E25">IFERROR(
    _xlfn.LET(
        _xlpm.filteredCRPartyIDs, _xlfn._xlws.FILTER(
                                Data[CR Party ID],
                                (Data[Sub-Track]=C25) *
                                (Data[Offer opted-in?]=FALSE) *
                                (Data[Stage]="Eligible")
                            ),
        _xlpm.uniqueIDs, _xlfn.UNIQUE(_xlpm.filteredCRPartyIDs),
        ROWS(_xlpm.uniqueIDs)
    ),
    0
)</f>
        <v>0</v>
      </c>
      <c r="F25" s="205" cm="1">
        <f t="array" ref="F25">IFERROR(
    _xlfn.LET(
        _xlpm.criteriaTrack, B25,
        _xlpm.criteriaSubTrack, C25,
        _xlpm.criteriaStage, "Eligible",
        _xlpm.criteriaOfferOptedIn, FALSE,
        _xlpm.combinedCondition, (Data[Track]=_xlpm.criteriaTrack) *
                           (Data[Sub-Track]=_xlpm.criteriaSubTrack) *
                           (Data[Stage]=_xlpm.criteriaStage) *
                           (Data[Offer opted-in?]=_xlpm.criteriaOfferOptedIn),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Data[Stage], _xlpm.criteriaStage,
                                Data[Offer opted-in?], _xlpm.criteriaOfferOptedIn
                            )
                        )
                    )
                )
            )
        )
    ),
    0
)</f>
        <v>0</v>
      </c>
      <c r="G25" s="206" cm="1">
        <f t="array" ref="G25">IFERROR(
    _xlfn.LET(
        _xlpm.combinedCondition, (Data[Sub-Track]=C25) *
                           (Data[UC 25-50% eligible w/o opt-in]=TRUE),
        _xlpm.filteredCRPartyIDs, _xlfn._xlws.FILTER(Data[CR Party ID], _xlpm.combinedCondition),
        _xlpm.uniqueIDs, _xlfn.UNIQUE(_xlpm.filteredCRPartyIDs),
        ROWS(_xlpm.uniqueIDs)
    ),
    0
)</f>
        <v>0</v>
      </c>
      <c r="H25" s="207" cm="1">
        <f t="array" ref="H25">IFERROR(
    _xlfn.LET(
        _xlpm.criteriaTrack, B25,
        _xlpm.criteriaSubTrack, C25,
        _xlpm.criteriaUCCondition, TRUE,
        _xlpm.combinedCondition, (Data[Track]=_xlpm.criteriaTrack) *
                           (Data[Sub-Track]=_xlpm.criteriaSubTrack) *
                           (Data[UC 25-50%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Data[UC 25-50% eligible w/o opt-in], _xlpm.criteriaUCCondition
                            )
                        )
                    )
                )
            )
        )
    ),
    0
)</f>
        <v>0</v>
      </c>
      <c r="I25" s="208" cm="1">
        <f t="array" ref="I25">IFERROR(
    _xlfn.LET(
        _xlpm.combinedCondition, (Data[Sub-Track]=C25) *
                           (Data[UC 75% eligible w/o opt-in]=TRUE),
        _xlpm.filteredCRPartyIDs, _xlfn._xlws.FILTER(Data[CR Party ID], _xlpm.combinedCondition),
        _xlpm.uniqueIDs, _xlfn.UNIQUE(_xlpm.filteredCRPartyIDs),
        ROWS(_xlpm.uniqueIDs)
    ),
    0
)</f>
        <v>0</v>
      </c>
      <c r="J25" s="209" cm="1">
        <f t="array" ref="J25">IFERROR(
    _xlfn.LET(
        _xlpm.criteriaTrack, B25,
        _xlpm.criteriaSubTrack, C25,
        _xlpm.criteriaUCCondition, TRUE,
        _xlpm.combinedCondition, (Data[Track]=_xlpm.criteriaTrack) *
                           (Data[Sub-Track]=_xlpm.criteriaSubTrack) *
                           (Data[UC 75%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Data[Missed Incentives],
                                Data[CRPartyID-Offer], _xlpm.currentPair,
                                Data[Track], _xlpm.criteriaTrack,
                                Data[Sub-Track], _xlpm.criteriaSubTrack,
                                Data[UC 75% eligible w/o opt-in], _xlpm.criteriaUCCondition
                            )
                        )
                    )
                )
            )
        )
    ),
    0
)</f>
        <v>0</v>
      </c>
      <c r="K25" s="209" cm="1">
        <f t="array" ref="K25">IFERROR(
    _xlfn.LET(
        _xlpm.criteriaTrack, B25,
        _xlpm.criteriaSubTrack, C25,
        _xlpm.criteriaUCCondition, TRUE,
        _xlpm.combinedCondition, (Data[Track]=_xlpm.criteriaTrack) *
                           (Data[Sub-Track]=_xlpm.criteriaSubTrack) *
                           (Data[UC 75%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Data[UC 75% eligible w/o opt-in], _xlpm.criteriaUCCondition
                            )
                        )
                    )
                )
            )
        )
    ),
    0
)</f>
        <v>0</v>
      </c>
      <c r="L25" s="210" cm="1">
        <f t="array" ref="L25">IFERROR(
    _xlfn.LET(
        _xlpm.combinedCondition, (Data[Sub-Track]=C25) *
                           (Data[UC progressed and missed w/o opt-in]=TRUE),
        _xlpm.filteredCRPartyIDs, _xlfn._xlws.FILTER(Data[CR Party ID], _xlpm.combinedCondition),
        _xlpm.uniqueIDs, _xlfn.UNIQUE(_xlpm.filteredCRPartyIDs),
        ROWS(_xlpm.uniqueIDs)
    ),
    0
)</f>
        <v>0</v>
      </c>
      <c r="M25" s="211" cm="1">
        <f t="array" ref="M25">IFERROR(
    _xlfn.LET(
        _xlpm.criteriaTrack, B25,
        _xlpm.criteriaSubTrack, C25,
        _xlpm.criteriaUCCondition, TRUE,
        _xlpm.combinedCondition, (Data[Track]=_xlpm.criteriaTrack) *
                           (Data[Sub-Track]=_xlpm.criteriaSubTrack) *
                           (Data[UC progressed and missed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Data[Missed Incentives],
                                Data[CRPartyID-Offer], _xlpm.currentPair,
                                Data[Track], _xlpm.criteriaTrack,
                                Data[Sub-Track], _xlpm.criteriaSubTrack,
                                Data[UC progressed and missed w/o opt-in], _xlpm.criteriaUCCondition
                            )
                        )
                    )
                )
            )
        )
    ),
    0
)</f>
        <v>0</v>
      </c>
      <c r="N25" s="201" cm="1">
        <f t="array" ref="N25">_xlfn.LET(
    _xlpm.combinedCondition, (Data[Sub-Track]=C25) *
                       (Data[Adopt Rebate Opt-In Status]="Opted in") *
                       (Data[Stage]="Eligible"),
    SUM(_xlpm.combinedCondition)
)</f>
        <v>0</v>
      </c>
      <c r="O25" s="202" cm="1">
        <f t="array" ref="O25">IFERROR(
    _xlfn.LET(
        _xlpm.combinedCondition, (Data[Sub-Track]=C25) *
                           (Data[Adopt Rebate Opt-In Status]="Opted in") *
                           (Data[Stage]="Eligible"),
        _xlpm.filteredIncentives, _xlfn._xlws.FILTER(Data[Potential Incentives], _xlpm.combinedCondition),
        SUM(_xlpm.filteredIncentives)
    ),
    0
)</f>
        <v>0</v>
      </c>
      <c r="P25" s="201" cm="1">
        <f t="array" ref="P25">IFERROR(
    _xlfn.LET(
        _xlpm.combinedCondition, (Data[Sub-Track]=C25) *
                           (Data[Earned?]=TRUE),
        SUM(_xlpm.combinedCondition)
    ),
    0
)</f>
        <v>0</v>
      </c>
      <c r="Q25" s="212" cm="1">
        <f t="array" ref="Q25">IFERROR(
    _xlfn.LET(
        _xlpm.combinedCondition, (Data[Sub-Track]=C25),
        _xlpm.filteredIncentives, _xlfn._xlws.FILTER(Data[Estimated Earned Incentives], _xlpm.combinedCondition),
        IF(ROWS(_xlpm.filteredIncentives)=0, 0, SUM(_xlpm.filteredIncentives))
    ),
    0
)</f>
        <v>0</v>
      </c>
    </row>
    <row r="26" spans="1:17" x14ac:dyDescent="0.4">
      <c r="A26" s="120" t="str">
        <v>Cloud + AI Infrastructure</v>
      </c>
      <c r="B26" t="str">
        <v>Data Center Networking</v>
      </c>
      <c r="C26" t="str">
        <v>Distributed Networking with NDFC (DCNM)</v>
      </c>
      <c r="D26" s="121" t="str">
        <v>Advanced</v>
      </c>
      <c r="E26" s="204" cm="1">
        <f t="array" ref="E26">IFERROR(
    _xlfn.LET(
        _xlpm.filteredCRPartyIDs, _xlfn._xlws.FILTER(
                                Data[CR Party ID],
                                (Data[Sub-Track]=C26) *
                                (Data[Offer opted-in?]=FALSE) *
                                (Data[Stage]="Eligible")
                            ),
        _xlpm.uniqueIDs, _xlfn.UNIQUE(_xlpm.filteredCRPartyIDs),
        ROWS(_xlpm.uniqueIDs)
    ),
    0
)</f>
        <v>0</v>
      </c>
      <c r="F26" s="205" cm="1">
        <f t="array" ref="F26">IFERROR(
    _xlfn.LET(
        _xlpm.criteriaTrack, B26,
        _xlpm.criteriaSubTrack, C26,
        _xlpm.criteriaStage, "Eligible",
        _xlpm.criteriaOfferOptedIn, FALSE,
        _xlpm.combinedCondition, (Data[Track]=_xlpm.criteriaTrack) *
                           (Data[Sub-Track]=_xlpm.criteriaSubTrack) *
                           (Data[Stage]=_xlpm.criteriaStage) *
                           (Data[Offer opted-in?]=_xlpm.criteriaOfferOptedIn),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Data[Stage], _xlpm.criteriaStage,
                                Data[Offer opted-in?], _xlpm.criteriaOfferOptedIn
                            )
                        )
                    )
                )
            )
        )
    ),
    0
)</f>
        <v>0</v>
      </c>
      <c r="G26" s="206" cm="1">
        <f t="array" ref="G26">IFERROR(
    _xlfn.LET(
        _xlpm.combinedCondition, (Data[Sub-Track]=C26) *
                           (Data[UC 25-50% eligible w/o opt-in]=TRUE),
        _xlpm.filteredCRPartyIDs, _xlfn._xlws.FILTER(Data[CR Party ID], _xlpm.combinedCondition),
        _xlpm.uniqueIDs, _xlfn.UNIQUE(_xlpm.filteredCRPartyIDs),
        ROWS(_xlpm.uniqueIDs)
    ),
    0
)</f>
        <v>0</v>
      </c>
      <c r="H26" s="207" cm="1">
        <f t="array" ref="H26">IFERROR(
    _xlfn.LET(
        _xlpm.criteriaTrack, B26,
        _xlpm.criteriaSubTrack, C26,
        _xlpm.criteriaUCCondition, TRUE,
        _xlpm.combinedCondition, (Data[Track]=_xlpm.criteriaTrack) *
                           (Data[Sub-Track]=_xlpm.criteriaSubTrack) *
                           (Data[UC 25-50%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Data[UC 25-50% eligible w/o opt-in], _xlpm.criteriaUCCondition
                            )
                        )
                    )
                )
            )
        )
    ),
    0
)</f>
        <v>0</v>
      </c>
      <c r="I26" s="208" cm="1">
        <f t="array" ref="I26">IFERROR(
    _xlfn.LET(
        _xlpm.combinedCondition, (Data[Sub-Track]=C26) *
                           (Data[UC 75% eligible w/o opt-in]=TRUE),
        _xlpm.filteredCRPartyIDs, _xlfn._xlws.FILTER(Data[CR Party ID], _xlpm.combinedCondition),
        _xlpm.uniqueIDs, _xlfn.UNIQUE(_xlpm.filteredCRPartyIDs),
        ROWS(_xlpm.uniqueIDs)
    ),
    0
)</f>
        <v>0</v>
      </c>
      <c r="J26" s="209" cm="1">
        <f t="array" ref="J26">IFERROR(
    _xlfn.LET(
        _xlpm.criteriaTrack, B26,
        _xlpm.criteriaSubTrack, C26,
        _xlpm.criteriaUCCondition, TRUE,
        _xlpm.combinedCondition, (Data[Track]=_xlpm.criteriaTrack) *
                           (Data[Sub-Track]=_xlpm.criteriaSubTrack) *
                           (Data[UC 75%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Data[Missed Incentives],
                                Data[CRPartyID-Offer], _xlpm.currentPair,
                                Data[Track], _xlpm.criteriaTrack,
                                Data[Sub-Track], _xlpm.criteriaSubTrack,
                                Data[UC 75% eligible w/o opt-in], _xlpm.criteriaUCCondition
                            )
                        )
                    )
                )
            )
        )
    ),
    0
)</f>
        <v>0</v>
      </c>
      <c r="K26" s="209" cm="1">
        <f t="array" ref="K26">IFERROR(
    _xlfn.LET(
        _xlpm.criteriaTrack, B26,
        _xlpm.criteriaSubTrack, C26,
        _xlpm.criteriaUCCondition, TRUE,
        _xlpm.combinedCondition, (Data[Track]=_xlpm.criteriaTrack) *
                           (Data[Sub-Track]=_xlpm.criteriaSubTrack) *
                           (Data[UC 75%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Data[UC 75% eligible w/o opt-in], _xlpm.criteriaUCCondition
                            )
                        )
                    )
                )
            )
        )
    ),
    0
)</f>
        <v>0</v>
      </c>
      <c r="L26" s="210" cm="1">
        <f t="array" ref="L26">IFERROR(
    _xlfn.LET(
        _xlpm.combinedCondition, (Data[Sub-Track]=C26) *
                           (Data[UC progressed and missed w/o opt-in]=TRUE),
        _xlpm.filteredCRPartyIDs, _xlfn._xlws.FILTER(Data[CR Party ID], _xlpm.combinedCondition),
        _xlpm.uniqueIDs, _xlfn.UNIQUE(_xlpm.filteredCRPartyIDs),
        ROWS(_xlpm.uniqueIDs)
    ),
    0
)</f>
        <v>0</v>
      </c>
      <c r="M26" s="211" cm="1">
        <f t="array" ref="M26">IFERROR(
    _xlfn.LET(
        _xlpm.criteriaTrack, B26,
        _xlpm.criteriaSubTrack, C26,
        _xlpm.criteriaUCCondition, TRUE,
        _xlpm.combinedCondition, (Data[Track]=_xlpm.criteriaTrack) *
                           (Data[Sub-Track]=_xlpm.criteriaSubTrack) *
                           (Data[UC progressed and missed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Data[Missed Incentives],
                                Data[CRPartyID-Offer], _xlpm.currentPair,
                                Data[Track], _xlpm.criteriaTrack,
                                Data[Sub-Track], _xlpm.criteriaSubTrack,
                                Data[UC progressed and missed w/o opt-in], _xlpm.criteriaUCCondition
                            )
                        )
                    )
                )
            )
        )
    ),
    0
)</f>
        <v>0</v>
      </c>
      <c r="N26" s="201" cm="1">
        <f t="array" ref="N26">_xlfn.LET(
    _xlpm.combinedCondition, (Data[Sub-Track]=C26) *
                       (Data[Adopt Rebate Opt-In Status]="Opted in") *
                       (Data[Stage]="Eligible"),
    SUM(_xlpm.combinedCondition)
)</f>
        <v>0</v>
      </c>
      <c r="O26" s="202" cm="1">
        <f t="array" ref="O26">IFERROR(
    _xlfn.LET(
        _xlpm.combinedCondition, (Data[Sub-Track]=C26) *
                           (Data[Adopt Rebate Opt-In Status]="Opted in") *
                           (Data[Stage]="Eligible"),
        _xlpm.filteredIncentives, _xlfn._xlws.FILTER(Data[Potential Incentives], _xlpm.combinedCondition),
        SUM(_xlpm.filteredIncentives)
    ),
    0
)</f>
        <v>0</v>
      </c>
      <c r="P26" s="201" cm="1">
        <f t="array" ref="P26">IFERROR(
    _xlfn.LET(
        _xlpm.combinedCondition, (Data[Sub-Track]=C26) *
                           (Data[Earned?]=TRUE),
        SUM(_xlpm.combinedCondition)
    ),
    0
)</f>
        <v>0</v>
      </c>
      <c r="Q26" s="212" cm="1">
        <f t="array" ref="Q26">IFERROR(
    _xlfn.LET(
        _xlpm.combinedCondition, (Data[Sub-Track]=C26),
        _xlpm.filteredIncentives, _xlfn._xlws.FILTER(Data[Estimated Earned Incentives], _xlpm.combinedCondition),
        IF(ROWS(_xlpm.filteredIncentives)=0, 0, SUM(_xlpm.filteredIncentives))
    ),
    0
)</f>
        <v>0</v>
      </c>
    </row>
    <row r="27" spans="1:17" x14ac:dyDescent="0.4">
      <c r="A27" s="120" t="str">
        <v>Cloud + AI Infrastructure</v>
      </c>
      <c r="B27" t="str">
        <v>Data Center Networking</v>
      </c>
      <c r="C27" t="str">
        <v>Fabric Provisioning and Operations with NDFC (DCNM)</v>
      </c>
      <c r="D27" s="121" t="str">
        <v>Standard</v>
      </c>
      <c r="E27" s="204" cm="1">
        <f t="array" ref="E27">IFERROR(
    _xlfn.LET(
        _xlpm.filteredCRPartyIDs, _xlfn._xlws.FILTER(
                                Data[CR Party ID],
                                (Data[Sub-Track]=C27) *
                                (Data[Offer opted-in?]=FALSE) *
                                (Data[Stage]="Eligible")
                            ),
        _xlpm.uniqueIDs, _xlfn.UNIQUE(_xlpm.filteredCRPartyIDs),
        ROWS(_xlpm.uniqueIDs)
    ),
    0
)</f>
        <v>0</v>
      </c>
      <c r="F27" s="205" cm="1">
        <f t="array" ref="F27">IFERROR(
    _xlfn.LET(
        _xlpm.criteriaTrack, B27,
        _xlpm.criteriaSubTrack, C27,
        _xlpm.criteriaStage, "Eligible",
        _xlpm.criteriaOfferOptedIn, FALSE,
        _xlpm.combinedCondition, (Data[Track]=_xlpm.criteriaTrack) *
                           (Data[Sub-Track]=_xlpm.criteriaSubTrack) *
                           (Data[Stage]=_xlpm.criteriaStage) *
                           (Data[Offer opted-in?]=_xlpm.criteriaOfferOptedIn),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Data[Stage], _xlpm.criteriaStage,
                                Data[Offer opted-in?], _xlpm.criteriaOfferOptedIn
                            )
                        )
                    )
                )
            )
        )
    ),
    0
)</f>
        <v>0</v>
      </c>
      <c r="G27" s="206" cm="1">
        <f t="array" ref="G27">IFERROR(
    _xlfn.LET(
        _xlpm.combinedCondition, (Data[Sub-Track]=C27) *
                           (Data[UC 25-50% eligible w/o opt-in]=TRUE),
        _xlpm.filteredCRPartyIDs, _xlfn._xlws.FILTER(Data[CR Party ID], _xlpm.combinedCondition),
        _xlpm.uniqueIDs, _xlfn.UNIQUE(_xlpm.filteredCRPartyIDs),
        ROWS(_xlpm.uniqueIDs)
    ),
    0
)</f>
        <v>0</v>
      </c>
      <c r="H27" s="207" cm="1">
        <f t="array" ref="H27">IFERROR(
    _xlfn.LET(
        _xlpm.criteriaTrack, B27,
        _xlpm.criteriaSubTrack, C27,
        _xlpm.criteriaUCCondition, TRUE,
        _xlpm.combinedCondition, (Data[Track]=_xlpm.criteriaTrack) *
                           (Data[Sub-Track]=_xlpm.criteriaSubTrack) *
                           (Data[UC 25-50%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Data[UC 25-50% eligible w/o opt-in], _xlpm.criteriaUCCondition
                            )
                        )
                    )
                )
            )
        )
    ),
    0
)</f>
        <v>0</v>
      </c>
      <c r="I27" s="208" cm="1">
        <f t="array" ref="I27">IFERROR(
    _xlfn.LET(
        _xlpm.combinedCondition, (Data[Sub-Track]=C27) *
                           (Data[UC 75% eligible w/o opt-in]=TRUE),
        _xlpm.filteredCRPartyIDs, _xlfn._xlws.FILTER(Data[CR Party ID], _xlpm.combinedCondition),
        _xlpm.uniqueIDs, _xlfn.UNIQUE(_xlpm.filteredCRPartyIDs),
        ROWS(_xlpm.uniqueIDs)
    ),
    0
)</f>
        <v>0</v>
      </c>
      <c r="J27" s="209" cm="1">
        <f t="array" ref="J27">IFERROR(
    _xlfn.LET(
        _xlpm.criteriaTrack, B27,
        _xlpm.criteriaSubTrack, C27,
        _xlpm.criteriaUCCondition, TRUE,
        _xlpm.combinedCondition, (Data[Track]=_xlpm.criteriaTrack) *
                           (Data[Sub-Track]=_xlpm.criteriaSubTrack) *
                           (Data[UC 75%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Data[Missed Incentives],
                                Data[CRPartyID-Offer], _xlpm.currentPair,
                                Data[Track], _xlpm.criteriaTrack,
                                Data[Sub-Track], _xlpm.criteriaSubTrack,
                                Data[UC 75% eligible w/o opt-in], _xlpm.criteriaUCCondition
                            )
                        )
                    )
                )
            )
        )
    ),
    0
)</f>
        <v>0</v>
      </c>
      <c r="K27" s="209" cm="1">
        <f t="array" ref="K27">IFERROR(
    _xlfn.LET(
        _xlpm.criteriaTrack, B27,
        _xlpm.criteriaSubTrack, C27,
        _xlpm.criteriaUCCondition, TRUE,
        _xlpm.combinedCondition, (Data[Track]=_xlpm.criteriaTrack) *
                           (Data[Sub-Track]=_xlpm.criteriaSubTrack) *
                           (Data[UC 75%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Data[UC 75% eligible w/o opt-in], _xlpm.criteriaUCCondition
                            )
                        )
                    )
                )
            )
        )
    ),
    0
)</f>
        <v>0</v>
      </c>
      <c r="L27" s="210" cm="1">
        <f t="array" ref="L27">IFERROR(
    _xlfn.LET(
        _xlpm.combinedCondition, (Data[Sub-Track]=C27) *
                           (Data[UC progressed and missed w/o opt-in]=TRUE),
        _xlpm.filteredCRPartyIDs, _xlfn._xlws.FILTER(Data[CR Party ID], _xlpm.combinedCondition),
        _xlpm.uniqueIDs, _xlfn.UNIQUE(_xlpm.filteredCRPartyIDs),
        ROWS(_xlpm.uniqueIDs)
    ),
    0
)</f>
        <v>0</v>
      </c>
      <c r="M27" s="211" cm="1">
        <f t="array" ref="M27">IFERROR(
    _xlfn.LET(
        _xlpm.criteriaTrack, B27,
        _xlpm.criteriaSubTrack, C27,
        _xlpm.criteriaUCCondition, TRUE,
        _xlpm.combinedCondition, (Data[Track]=_xlpm.criteriaTrack) *
                           (Data[Sub-Track]=_xlpm.criteriaSubTrack) *
                           (Data[UC progressed and missed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Data[Missed Incentives],
                                Data[CRPartyID-Offer], _xlpm.currentPair,
                                Data[Track], _xlpm.criteriaTrack,
                                Data[Sub-Track], _xlpm.criteriaSubTrack,
                                Data[UC progressed and missed w/o opt-in], _xlpm.criteriaUCCondition
                            )
                        )
                    )
                )
            )
        )
    ),
    0
)</f>
        <v>0</v>
      </c>
      <c r="N27" s="201" cm="1">
        <f t="array" ref="N27">_xlfn.LET(
    _xlpm.combinedCondition, (Data[Sub-Track]=C27) *
                       (Data[Adopt Rebate Opt-In Status]="Opted in") *
                       (Data[Stage]="Eligible"),
    SUM(_xlpm.combinedCondition)
)</f>
        <v>0</v>
      </c>
      <c r="O27" s="202" cm="1">
        <f t="array" ref="O27">IFERROR(
    _xlfn.LET(
        _xlpm.combinedCondition, (Data[Sub-Track]=C27) *
                           (Data[Adopt Rebate Opt-In Status]="Opted in") *
                           (Data[Stage]="Eligible"),
        _xlpm.filteredIncentives, _xlfn._xlws.FILTER(Data[Potential Incentives], _xlpm.combinedCondition),
        SUM(_xlpm.filteredIncentives)
    ),
    0
)</f>
        <v>0</v>
      </c>
      <c r="P27" s="201" cm="1">
        <f t="array" ref="P27">IFERROR(
    _xlfn.LET(
        _xlpm.combinedCondition, (Data[Sub-Track]=C27) *
                           (Data[Earned?]=TRUE),
        SUM(_xlpm.combinedCondition)
    ),
    0
)</f>
        <v>0</v>
      </c>
      <c r="Q27" s="212" cm="1">
        <f t="array" ref="Q27">IFERROR(
    _xlfn.LET(
        _xlpm.combinedCondition, (Data[Sub-Track]=C27),
        _xlpm.filteredIncentives, _xlfn._xlws.FILTER(Data[Estimated Earned Incentives], _xlpm.combinedCondition),
        IF(ROWS(_xlpm.filteredIncentives)=0, 0, SUM(_xlpm.filteredIncentives))
    ),
    0
)</f>
        <v>0</v>
      </c>
    </row>
    <row r="28" spans="1:17" ht="15" thickBot="1" x14ac:dyDescent="0.45">
      <c r="A28" s="124" t="str">
        <v>Cloud + AI Infrastructure</v>
      </c>
      <c r="B28" s="5" t="str">
        <v>Data Center Networking</v>
      </c>
      <c r="C28" s="5" t="str">
        <v>Network Provisioning and Operations</v>
      </c>
      <c r="D28" s="125" t="str">
        <v>Standard</v>
      </c>
      <c r="E28" s="213" cm="1">
        <f t="array" ref="E28">IFERROR(
    _xlfn.LET(
        _xlpm.filteredCRPartyIDs, _xlfn._xlws.FILTER(
                                Data[CR Party ID],
                                (Data[Sub-Track]=C28) *
                                (Data[Offer opted-in?]=FALSE) *
                                (Data[Stage]="Eligible")
                            ),
        _xlpm.uniqueIDs, _xlfn.UNIQUE(_xlpm.filteredCRPartyIDs),
        ROWS(_xlpm.uniqueIDs)
    ),
    0
)</f>
        <v>0</v>
      </c>
      <c r="F28" s="36" cm="1">
        <f t="array" ref="F28">IFERROR(
    _xlfn.LET(
        _xlpm.criteriaTrack, B28,
        _xlpm.criteriaSubTrack, C28,
        _xlpm.criteriaStage, "Eligible",
        _xlpm.criteriaOfferOptedIn, FALSE,
        _xlpm.combinedCondition, (Data[Track]=_xlpm.criteriaTrack) *
                           (Data[Sub-Track]=_xlpm.criteriaSubTrack) *
                           (Data[Stage]=_xlpm.criteriaStage) *
                           (Data[Offer opted-in?]=_xlpm.criteriaOfferOptedIn),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Data[Stage], _xlpm.criteriaStage,
                                Data[Offer opted-in?], _xlpm.criteriaOfferOptedIn
                            )
                        )
                    )
                )
            )
        )
    ),
    0
)</f>
        <v>0</v>
      </c>
      <c r="G28" s="23" cm="1">
        <f t="array" ref="G28">IFERROR(
    _xlfn.LET(
        _xlpm.combinedCondition, (Data[Sub-Track]=C28) *
                           (Data[UC 25-50% eligible w/o opt-in]=TRUE),
        _xlpm.filteredCRPartyIDs, _xlfn._xlws.FILTER(Data[CR Party ID], _xlpm.combinedCondition),
        _xlpm.uniqueIDs, _xlfn.UNIQUE(_xlpm.filteredCRPartyIDs),
        ROWS(_xlpm.uniqueIDs)
    ),
    0
)</f>
        <v>0</v>
      </c>
      <c r="H28" s="16" cm="1">
        <f t="array" ref="H28">IFERROR(
    _xlfn.LET(
        _xlpm.criteriaTrack, B28,
        _xlpm.criteriaSubTrack, C28,
        _xlpm.criteriaUCCondition, TRUE,
        _xlpm.combinedCondition, (Data[Track]=_xlpm.criteriaTrack) *
                           (Data[Sub-Track]=_xlpm.criteriaSubTrack) *
                           (Data[UC 25-50%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Data[UC 25-50% eligible w/o opt-in], _xlpm.criteriaUCCondition
                            )
                        )
                    )
                )
            )
        )
    ),
    0
)</f>
        <v>0</v>
      </c>
      <c r="I28" s="22" cm="1">
        <f t="array" ref="I28">IFERROR(
    _xlfn.LET(
        _xlpm.combinedCondition, (Data[Sub-Track]=C28) *
                           (Data[UC 75% eligible w/o opt-in]=TRUE),
        _xlpm.filteredCRPartyIDs, _xlfn._xlws.FILTER(Data[CR Party ID], _xlpm.combinedCondition),
        _xlpm.uniqueIDs, _xlfn.UNIQUE(_xlpm.filteredCRPartyIDs),
        ROWS(_xlpm.uniqueIDs)
    ),
    0
)</f>
        <v>0</v>
      </c>
      <c r="J28" s="12" cm="1">
        <f t="array" ref="J28">IFERROR(
    _xlfn.LET(
        _xlpm.criteriaTrack, B28,
        _xlpm.criteriaSubTrack, C28,
        _xlpm.criteriaUCCondition, TRUE,
        _xlpm.combinedCondition, (Data[Track]=_xlpm.criteriaTrack) *
                           (Data[Sub-Track]=_xlpm.criteriaSubTrack) *
                           (Data[UC 75%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Data[Missed Incentives],
                                Data[CRPartyID-Offer], _xlpm.currentPair,
                                Data[Track], _xlpm.criteriaTrack,
                                Data[Sub-Track], _xlpm.criteriaSubTrack,
                                Data[UC 75% eligible w/o opt-in], _xlpm.criteriaUCCondition
                            )
                        )
                    )
                )
            )
        )
    ),
    0
)</f>
        <v>0</v>
      </c>
      <c r="K28" s="12" cm="1">
        <f t="array" ref="K28">IFERROR(
    _xlfn.LET(
        _xlpm.criteriaTrack, B28,
        _xlpm.criteriaSubTrack, C28,
        _xlpm.criteriaUCCondition, TRUE,
        _xlpm.combinedCondition, (Data[Track]=_xlpm.criteriaTrack) *
                           (Data[Sub-Track]=_xlpm.criteriaSubTrack) *
                           (Data[UC 75%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Data[UC 75% eligible w/o opt-in], _xlpm.criteriaUCCondition
                            )
                        )
                    )
                )
            )
        )
    ),
    0
)</f>
        <v>0</v>
      </c>
      <c r="L28" s="43" cm="1">
        <f t="array" ref="L28">IFERROR(
    _xlfn.LET(
        _xlpm.combinedCondition, (Data[Sub-Track]=C28) *
                           (Data[UC progressed and missed w/o opt-in]=TRUE),
        _xlpm.filteredCRPartyIDs, _xlfn._xlws.FILTER(Data[CR Party ID], _xlpm.combinedCondition),
        _xlpm.uniqueIDs, _xlfn.UNIQUE(_xlpm.filteredCRPartyIDs),
        ROWS(_xlpm.uniqueIDs)
    ),
    0
)</f>
        <v>0</v>
      </c>
      <c r="M28" s="44" cm="1">
        <f t="array" ref="M28">IFERROR(
    _xlfn.LET(
        _xlpm.criteriaTrack, B28,
        _xlpm.criteriaSubTrack, C28,
        _xlpm.criteriaUCCondition, TRUE,
        _xlpm.combinedCondition, (Data[Track]=_xlpm.criteriaTrack) *
                           (Data[Sub-Track]=_xlpm.criteriaSubTrack) *
                           (Data[UC progressed and missed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Data[Missed Incentives],
                                Data[CRPartyID-Offer], _xlpm.currentPair,
                                Data[Track], _xlpm.criteriaTrack,
                                Data[Sub-Track], _xlpm.criteriaSubTrack,
                                Data[UC progressed and missed w/o opt-in], _xlpm.criteriaUCCondition
                            )
                        )
                    )
                )
            )
        )
    ),
    0
)</f>
        <v>0</v>
      </c>
      <c r="N28" s="24" cm="1">
        <f t="array" ref="N28">_xlfn.LET(
    _xlpm.combinedCondition, (Data[Sub-Track]=C28) *
                       (Data[Adopt Rebate Opt-In Status]="Opted in") *
                       (Data[Stage]="Eligible"),
    SUM(_xlpm.combinedCondition)
)</f>
        <v>0</v>
      </c>
      <c r="O28" s="48" cm="1">
        <f t="array" ref="O28">IFERROR(
    _xlfn.LET(
        _xlpm.combinedCondition, (Data[Sub-Track]=C28) *
                           (Data[Adopt Rebate Opt-In Status]="Opted in") *
                           (Data[Stage]="Eligible"),
        _xlpm.filteredIncentives, _xlfn._xlws.FILTER(Data[Potential Incentives], _xlpm.combinedCondition),
        SUM(_xlpm.filteredIncentives)
    ),
    0
)</f>
        <v>0</v>
      </c>
      <c r="P28" s="24" cm="1">
        <f t="array" ref="P28">IFERROR(
    _xlfn.LET(
        _xlpm.combinedCondition, (Data[Sub-Track]=C28) *
                           (Data[Earned?]=TRUE),
        SUM(_xlpm.combinedCondition)
    ),
    0
)</f>
        <v>0</v>
      </c>
      <c r="Q28" s="214" cm="1">
        <f t="array" ref="Q28">IFERROR(
    _xlfn.LET(
        _xlpm.combinedCondition, (Data[Sub-Track]=C28),
        _xlpm.filteredIncentives, _xlfn._xlws.FILTER(Data[Estimated Earned Incentives], _xlpm.combinedCondition),
        IF(ROWS(_xlpm.filteredIncentives)=0, 0, SUM(_xlpm.filteredIncentives))
    ),
    0
)</f>
        <v>0</v>
      </c>
    </row>
    <row r="29" spans="1:17" ht="15" thickBot="1" x14ac:dyDescent="0.45">
      <c r="A29" s="170" t="str">
        <v>Collaboration</v>
      </c>
      <c r="B29" s="6" t="str">
        <v>Webex Suite</v>
      </c>
      <c r="C29" s="6" t="str">
        <v>Webex Calling and App</v>
      </c>
      <c r="D29" s="171" t="str">
        <v>Standard</v>
      </c>
      <c r="E29" s="215" cm="1">
        <f t="array" ref="E29">IFERROR(
    _xlfn.LET(
        _xlpm.filteredCRPartyIDs, _xlfn._xlws.FILTER(
                                Data[CR Party ID],
                                (Data[Sub-Track]=C29) *
                                (Data[Offer opted-in?]=FALSE) *
                                (Data[Stage]="Eligible")
                            ),
        _xlpm.uniqueIDs, _xlfn.UNIQUE(_xlpm.filteredCRPartyIDs),
        ROWS(_xlpm.uniqueIDs)
    ),
    0
)</f>
        <v>0</v>
      </c>
      <c r="F29" s="37" cm="1">
        <f t="array" ref="F29">IFERROR(
    _xlfn.LET(
        _xlpm.criteriaTrack, B29,
        _xlpm.criteriaSubTrack, C29,
        _xlpm.criteriaStage, "Eligible",
        _xlpm.criteriaOfferOptedIn, FALSE,
        _xlpm.combinedCondition, (Data[Track]=_xlpm.criteriaTrack) *
                           (Data[Sub-Track]=_xlpm.criteriaSubTrack) *
                           (Data[Stage]=_xlpm.criteriaStage) *
                           (Data[Offer opted-in?]=_xlpm.criteriaOfferOptedIn),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Data[Stage], _xlpm.criteriaStage,
                                Data[Offer opted-in?], _xlpm.criteriaOfferOptedIn
                            )
                        )
                    )
                )
            )
        )
    ),
    0
)</f>
        <v>0</v>
      </c>
      <c r="G29" s="26" cm="1">
        <f t="array" ref="G29">IFERROR(
    _xlfn.LET(
        _xlpm.combinedCondition, (Data[Sub-Track]=C29) *
                           (Data[UC 25-50% eligible w/o opt-in]=TRUE),
        _xlpm.filteredCRPartyIDs, _xlfn._xlws.FILTER(Data[CR Party ID], _xlpm.combinedCondition),
        _xlpm.uniqueIDs, _xlfn.UNIQUE(_xlpm.filteredCRPartyIDs),
        ROWS(_xlpm.uniqueIDs)
    ),
    0
)</f>
        <v>0</v>
      </c>
      <c r="H29" s="17" cm="1">
        <f t="array" ref="H29">IFERROR(
    _xlfn.LET(
        _xlpm.criteriaTrack, B29,
        _xlpm.criteriaSubTrack, C29,
        _xlpm.criteriaUCCondition, TRUE,
        _xlpm.combinedCondition, (Data[Track]=_xlpm.criteriaTrack) *
                           (Data[Sub-Track]=_xlpm.criteriaSubTrack) *
                           (Data[UC 25-50%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Data[UC 25-50% eligible w/o opt-in], _xlpm.criteriaUCCondition
                            )
                        )
                    )
                )
            )
        )
    ),
    0
)</f>
        <v>0</v>
      </c>
      <c r="I29" s="25" cm="1">
        <f t="array" ref="I29">IFERROR(
    _xlfn.LET(
        _xlpm.combinedCondition, (Data[Sub-Track]=C29) *
                           (Data[UC 75% eligible w/o opt-in]=TRUE),
        _xlpm.filteredCRPartyIDs, _xlfn._xlws.FILTER(Data[CR Party ID], _xlpm.combinedCondition),
        _xlpm.uniqueIDs, _xlfn.UNIQUE(_xlpm.filteredCRPartyIDs),
        ROWS(_xlpm.uniqueIDs)
    ),
    0
)</f>
        <v>0</v>
      </c>
      <c r="J29" s="13" cm="1">
        <f t="array" ref="J29">IFERROR(
    _xlfn.LET(
        _xlpm.criteriaTrack, B29,
        _xlpm.criteriaSubTrack, C29,
        _xlpm.criteriaUCCondition, TRUE,
        _xlpm.combinedCondition, (Data[Track]=_xlpm.criteriaTrack) *
                           (Data[Sub-Track]=_xlpm.criteriaSubTrack) *
                           (Data[UC 75%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Data[Missed Incentives],
                                Data[CRPartyID-Offer], _xlpm.currentPair,
                                Data[Track], _xlpm.criteriaTrack,
                                Data[Sub-Track], _xlpm.criteriaSubTrack,
                                Data[UC 75% eligible w/o opt-in], _xlpm.criteriaUCCondition
                            )
                        )
                    )
                )
            )
        )
    ),
    0
)</f>
        <v>0</v>
      </c>
      <c r="K29" s="13" cm="1">
        <f t="array" ref="K29">IFERROR(
    _xlfn.LET(
        _xlpm.criteriaTrack, B29,
        _xlpm.criteriaSubTrack, C29,
        _xlpm.criteriaUCCondition, TRUE,
        _xlpm.combinedCondition, (Data[Track]=_xlpm.criteriaTrack) *
                           (Data[Sub-Track]=_xlpm.criteriaSubTrack) *
                           (Data[UC 75%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Data[UC 75% eligible w/o opt-in], _xlpm.criteriaUCCondition
                            )
                        )
                    )
                )
            )
        )
    ),
    0
)</f>
        <v>0</v>
      </c>
      <c r="L29" s="45" cm="1">
        <f t="array" ref="L29">IFERROR(
    _xlfn.LET(
        _xlpm.combinedCondition, (Data[Sub-Track]=C29) *
                           (Data[UC progressed and missed w/o opt-in]=TRUE),
        _xlpm.filteredCRPartyIDs, _xlfn._xlws.FILTER(Data[CR Party ID], _xlpm.combinedCondition),
        _xlpm.uniqueIDs, _xlfn.UNIQUE(_xlpm.filteredCRPartyIDs),
        ROWS(_xlpm.uniqueIDs)
    ),
    0
)</f>
        <v>0</v>
      </c>
      <c r="M29" s="46" cm="1">
        <f t="array" ref="M29">IFERROR(
    _xlfn.LET(
        _xlpm.criteriaTrack, B29,
        _xlpm.criteriaSubTrack, C29,
        _xlpm.criteriaUCCondition, TRUE,
        _xlpm.combinedCondition, (Data[Track]=_xlpm.criteriaTrack) *
                           (Data[Sub-Track]=_xlpm.criteriaSubTrack) *
                           (Data[UC progressed and missed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Data[Missed Incentives],
                                Data[CRPartyID-Offer], _xlpm.currentPair,
                                Data[Track], _xlpm.criteriaTrack,
                                Data[Sub-Track], _xlpm.criteriaSubTrack,
                                Data[UC progressed and missed w/o opt-in], _xlpm.criteriaUCCondition
                            )
                        )
                    )
                )
            )
        )
    ),
    0
)</f>
        <v>0</v>
      </c>
      <c r="N29" s="27" cm="1">
        <f t="array" ref="N29">_xlfn.LET(
    _xlpm.combinedCondition, (Data[Sub-Track]=C29) *
                       (Data[Adopt Rebate Opt-In Status]="Opted in") *
                       (Data[Stage]="Eligible"),
    SUM(_xlpm.combinedCondition)
)</f>
        <v>0</v>
      </c>
      <c r="O29" s="50" cm="1">
        <f t="array" ref="O29">IFERROR(
    _xlfn.LET(
        _xlpm.combinedCondition, (Data[Sub-Track]=C29) *
                           (Data[Adopt Rebate Opt-In Status]="Opted in") *
                           (Data[Stage]="Eligible"),
        _xlpm.filteredIncentives, _xlfn._xlws.FILTER(Data[Potential Incentives], _xlpm.combinedCondition),
        SUM(_xlpm.filteredIncentives)
    ),
    0
)</f>
        <v>0</v>
      </c>
      <c r="P29" s="27" cm="1">
        <f t="array" ref="P29">IFERROR(
    _xlfn.LET(
        _xlpm.combinedCondition, (Data[Sub-Track]=C29) *
                           (Data[Earned?]=TRUE),
        SUM(_xlpm.combinedCondition)
    ),
    0
)</f>
        <v>0</v>
      </c>
      <c r="Q29" s="216" cm="1">
        <f t="array" ref="Q29">IFERROR(
    _xlfn.LET(
        _xlpm.combinedCondition, (Data[Sub-Track]=C29),
        _xlpm.filteredIncentives, _xlfn._xlws.FILTER(Data[Estimated Earned Incentives], _xlpm.combinedCondition),
        IF(ROWS(_xlpm.filteredIncentives)=0, 0, SUM(_xlpm.filteredIncentives))
    ),
    0
)</f>
        <v>0</v>
      </c>
    </row>
    <row r="30" spans="1:17" ht="15" thickBot="1" x14ac:dyDescent="0.45">
      <c r="A30" s="170" t="str">
        <v>Collaboration</v>
      </c>
      <c r="B30" s="6" t="str">
        <v>Cisco Contact Center</v>
      </c>
      <c r="C30" s="6" t="str">
        <v>Webex Contact Center</v>
      </c>
      <c r="D30" s="171" t="str">
        <v>Advanced</v>
      </c>
      <c r="E30" s="215" cm="1">
        <f t="array" ref="E30">IFERROR(
    _xlfn.LET(
        _xlpm.filteredCRPartyIDs, _xlfn._xlws.FILTER(
                                Data[CR Party ID],
                                (Data[Sub-Track]=C30) *
                                (Data[Offer opted-in?]=FALSE) *
                                (Data[Stage]="Eligible")
                            ),
        _xlpm.uniqueIDs, _xlfn.UNIQUE(_xlpm.filteredCRPartyIDs),
        ROWS(_xlpm.uniqueIDs)
    ),
    0
)</f>
        <v>0</v>
      </c>
      <c r="F30" s="37" cm="1">
        <f t="array" ref="F30">IFERROR(
    _xlfn.LET(
        _xlpm.criteriaTrack, B30,
        _xlpm.criteriaSubTrack, C30,
        _xlpm.criteriaStage, "Eligible",
        _xlpm.criteriaOfferOptedIn, FALSE,
        _xlpm.combinedCondition, (Data[Track]=_xlpm.criteriaTrack) *
                           (Data[Sub-Track]=_xlpm.criteriaSubTrack) *
                           (Data[Stage]=_xlpm.criteriaStage) *
                           (Data[Offer opted-in?]=_xlpm.criteriaOfferOptedIn),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Data[Stage], _xlpm.criteriaStage,
                                Data[Offer opted-in?], _xlpm.criteriaOfferOptedIn
                            )
                        )
                    )
                )
            )
        )
    ),
    0
)</f>
        <v>0</v>
      </c>
      <c r="G30" s="26" cm="1">
        <f t="array" ref="G30">IFERROR(
    _xlfn.LET(
        _xlpm.combinedCondition, (Data[Sub-Track]=C30) *
                           (Data[UC 25-50% eligible w/o opt-in]=TRUE),
        _xlpm.filteredCRPartyIDs, _xlfn._xlws.FILTER(Data[CR Party ID], _xlpm.combinedCondition),
        _xlpm.uniqueIDs, _xlfn.UNIQUE(_xlpm.filteredCRPartyIDs),
        ROWS(_xlpm.uniqueIDs)
    ),
    0
)</f>
        <v>0</v>
      </c>
      <c r="H30" s="17" cm="1">
        <f t="array" ref="H30">IFERROR(
    _xlfn.LET(
        _xlpm.criteriaTrack, B30,
        _xlpm.criteriaSubTrack, C30,
        _xlpm.criteriaUCCondition, TRUE,
        _xlpm.combinedCondition, (Data[Track]=_xlpm.criteriaTrack) *
                           (Data[Sub-Track]=_xlpm.criteriaSubTrack) *
                           (Data[UC 25-50%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Data[UC 25-50% eligible w/o opt-in], _xlpm.criteriaUCCondition
                            )
                        )
                    )
                )
            )
        )
    ),
    0
)</f>
        <v>0</v>
      </c>
      <c r="I30" s="25" cm="1">
        <f t="array" ref="I30">IFERROR(
    _xlfn.LET(
        _xlpm.combinedCondition, (Data[Sub-Track]=C30) *
                           (Data[UC 75% eligible w/o opt-in]=TRUE),
        _xlpm.filteredCRPartyIDs, _xlfn._xlws.FILTER(Data[CR Party ID], _xlpm.combinedCondition),
        _xlpm.uniqueIDs, _xlfn.UNIQUE(_xlpm.filteredCRPartyIDs),
        ROWS(_xlpm.uniqueIDs)
    ),
    0
)</f>
        <v>0</v>
      </c>
      <c r="J30" s="13" cm="1">
        <f t="array" ref="J30">IFERROR(
    _xlfn.LET(
        _xlpm.criteriaTrack, B30,
        _xlpm.criteriaSubTrack, C30,
        _xlpm.criteriaUCCondition, TRUE,
        _xlpm.combinedCondition, (Data[Track]=_xlpm.criteriaTrack) *
                           (Data[Sub-Track]=_xlpm.criteriaSubTrack) *
                           (Data[UC 75%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Data[Missed Incentives],
                                Data[CRPartyID-Offer], _xlpm.currentPair,
                                Data[Track], _xlpm.criteriaTrack,
                                Data[Sub-Track], _xlpm.criteriaSubTrack,
                                Data[UC 75% eligible w/o opt-in], _xlpm.criteriaUCCondition
                            )
                        )
                    )
                )
            )
        )
    ),
    0
)</f>
        <v>0</v>
      </c>
      <c r="K30" s="13" cm="1">
        <f t="array" ref="K30">IFERROR(
    _xlfn.LET(
        _xlpm.criteriaTrack, B30,
        _xlpm.criteriaSubTrack, C30,
        _xlpm.criteriaUCCondition, TRUE,
        _xlpm.combinedCondition, (Data[Track]=_xlpm.criteriaTrack) *
                           (Data[Sub-Track]=_xlpm.criteriaSubTrack) *
                           (Data[UC 75% eligible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Data[Potential Incentives],
                                Data[CRPartyID-Offer], _xlpm.currentPair,
                                Data[Track], _xlpm.criteriaTrack,
                                Data[Sub-Track], _xlpm.criteriaSubTrack,
                                Data[UC 75% eligible w/o opt-in], _xlpm.criteriaUCCondition
                            )
                        )
                    )
                )
            )
        )
    ),
    0
)</f>
        <v>0</v>
      </c>
      <c r="L30" s="45" cm="1">
        <f t="array" ref="L30">IFERROR(
    _xlfn.LET(
        _xlpm.combinedCondition, (Data[Sub-Track]=C30) *
                           (Data[UC progressed and missed w/o opt-in]=TRUE),
        _xlpm.filteredCRPartyIDs, _xlfn._xlws.FILTER(Data[CR Party ID], _xlpm.combinedCondition),
        _xlpm.uniqueIDs, _xlfn.UNIQUE(_xlpm.filteredCRPartyIDs),
        ROWS(_xlpm.uniqueIDs)
    ),
    0
)</f>
        <v>0</v>
      </c>
      <c r="M30" s="46" cm="1">
        <f t="array" ref="M30">IFERROR(
    _xlfn.LET(
        _xlpm.criteriaTrack, B30,
        _xlpm.criteriaSubTrack, C30,
        _xlpm.criteriaUCCondition, TRUE,
        _xlpm.combinedCondition, (Data[Track]=_xlpm.criteriaTrack) *
                           (Data[Sub-Track]=_xlpm.criteriaSubTrack) *
                           (Data[UC progressed and missed w/o opt-in]=_xlpm.criteriaUCCondition),
        _xlpm.filteredCRPartyIDs, _xlfn._xlws.FILTER(Data[CRPartyID-Offer], _xlpm.combinedCondition),
        IF(ROWS(_xlpm.filteredCRPartyIDs)=0, 0,
            _xlfn.LET(
                _xlpm.uniqueCRPartyIDs, _xlfn.UNIQUE(_xlpm.filteredCRPartyIDs),
                SUM(
                    _xlfn.BYROW(
                        _xlpm.uniqueCRPartyIDs,
                        _xlfn.LAMBDA(_xlpm.currentPair,
                            _xlfn.MAXIFS(
                                Data[Missed Incentives],
                                Data[CRPartyID-Offer], _xlpm.currentPair,
                                Data[Track], _xlpm.criteriaTrack,
                                Data[Sub-Track], _xlpm.criteriaSubTrack,
                                Data[UC progressed and missed w/o opt-in], _xlpm.criteriaUCCondition
                            )
                        )
                    )
                )
            )
        )
    ),
    0
)</f>
        <v>0</v>
      </c>
      <c r="N30" s="27" cm="1">
        <f t="array" ref="N30">_xlfn.LET(
    _xlpm.combinedCondition, (Data[Sub-Track]=C30) *
                       (Data[Adopt Rebate Opt-In Status]="Opted in") *
                       (Data[Stage]="Eligible"),
    SUM(_xlpm.combinedCondition)
)</f>
        <v>0</v>
      </c>
      <c r="O30" s="50" cm="1">
        <f t="array" ref="O30">IFERROR(
    _xlfn.LET(
        _xlpm.combinedCondition, (Data[Sub-Track]=C30) *
                           (Data[Adopt Rebate Opt-In Status]="Opted in") *
                           (Data[Stage]="Eligible"),
        _xlpm.filteredIncentives, _xlfn._xlws.FILTER(Data[Potential Incentives], _xlpm.combinedCondition),
        SUM(_xlpm.filteredIncentives)
    ),
    0
)</f>
        <v>0</v>
      </c>
      <c r="P30" s="27" cm="1">
        <f t="array" ref="P30">IFERROR(
    _xlfn.LET(
        _xlpm.combinedCondition, (Data[Sub-Track]=C30) *
                           (Data[Earned?]=TRUE),
        SUM(_xlpm.combinedCondition)
    ),
    0
)</f>
        <v>0</v>
      </c>
      <c r="Q30" s="216" cm="1">
        <f t="array" ref="Q30">IFERROR(
    _xlfn.LET(
        _xlpm.combinedCondition, (Data[Sub-Track]=C30),
        _xlpm.filteredIncentives, _xlfn._xlws.FILTER(Data[Estimated Earned Incentives], _xlpm.combinedCondition),
        IF(ROWS(_xlpm.filteredIncentives)=0, 0, SUM(_xlpm.filteredIncentives))
    ),
    0
)</f>
        <v>0</v>
      </c>
    </row>
    <row r="31" spans="1:17" ht="18.45" x14ac:dyDescent="0.5">
      <c r="A31" s="38" t="s">
        <v>388</v>
      </c>
      <c r="F31" s="30"/>
      <c r="G31" s="31"/>
      <c r="H31" s="30"/>
      <c r="I31" s="31"/>
      <c r="J31" s="31"/>
      <c r="K31" s="30"/>
      <c r="L31" s="31"/>
      <c r="M31" s="32"/>
      <c r="N31" s="32"/>
      <c r="O31" s="32"/>
      <c r="P31" s="33"/>
    </row>
    <row r="32" spans="1:17" s="39" customFormat="1" ht="18.45" x14ac:dyDescent="0.5">
      <c r="M32" s="190"/>
      <c r="Q32" s="53"/>
    </row>
    <row r="33" spans="13:13" x14ac:dyDescent="0.4">
      <c r="M33" s="191"/>
    </row>
  </sheetData>
  <mergeCells count="1">
    <mergeCell ref="E1:Q1"/>
  </mergeCell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4818D-5D09-4205-B91E-237975BBCE03}">
  <sheetPr codeName="Sheet1"/>
  <dimension ref="A1:S1951"/>
  <sheetViews>
    <sheetView showGridLines="0" topLeftCell="B1" zoomScaleNormal="100" workbookViewId="0">
      <selection activeCell="Q29" sqref="Q29"/>
    </sheetView>
  </sheetViews>
  <sheetFormatPr defaultColWidth="8.84375" defaultRowHeight="14.6" x14ac:dyDescent="0.4"/>
  <cols>
    <col min="1" max="1" width="22.69140625" hidden="1" customWidth="1"/>
    <col min="2" max="2" width="17.15234375" customWidth="1"/>
    <col min="3" max="3" width="11.61328125" customWidth="1"/>
    <col min="4" max="4" width="12.4609375" customWidth="1"/>
    <col min="5" max="5" width="16.61328125" customWidth="1"/>
    <col min="6" max="6" width="20.765625" customWidth="1"/>
    <col min="7" max="7" width="11.23046875" customWidth="1"/>
    <col min="8" max="8" width="9.3828125" customWidth="1"/>
    <col min="9" max="9" width="12.84375" customWidth="1"/>
    <col min="10" max="10" width="15.53515625" customWidth="1"/>
    <col min="11" max="11" width="14.07421875" customWidth="1"/>
    <col min="12" max="12" width="11.84375" customWidth="1"/>
    <col min="13" max="13" width="13.765625" customWidth="1"/>
    <col min="14" max="16" width="15.921875" customWidth="1"/>
    <col min="17" max="17" width="29.3828125" customWidth="1"/>
    <col min="18" max="18" width="19" style="88" customWidth="1"/>
    <col min="19" max="19" width="52.3828125" style="86" customWidth="1"/>
    <col min="20" max="166" width="16.15234375" bestFit="1" customWidth="1"/>
    <col min="167" max="167" width="10.3046875" bestFit="1" customWidth="1"/>
  </cols>
  <sheetData>
    <row r="1" spans="11:19" x14ac:dyDescent="0.4">
      <c r="R1" s="236" t="s">
        <v>226</v>
      </c>
      <c r="S1" s="237"/>
    </row>
    <row r="2" spans="11:19" ht="24" x14ac:dyDescent="0.4">
      <c r="R2" s="89" t="s">
        <v>228</v>
      </c>
      <c r="S2" s="90" t="s">
        <v>241</v>
      </c>
    </row>
    <row r="3" spans="11:19" x14ac:dyDescent="0.4">
      <c r="R3" s="89" t="s">
        <v>110</v>
      </c>
      <c r="S3" s="90" t="s">
        <v>227</v>
      </c>
    </row>
    <row r="4" spans="11:19" x14ac:dyDescent="0.4">
      <c r="R4" s="89" t="s">
        <v>106</v>
      </c>
      <c r="S4" s="90" t="s">
        <v>229</v>
      </c>
    </row>
    <row r="5" spans="11:19" x14ac:dyDescent="0.4">
      <c r="R5" s="233" t="s">
        <v>87</v>
      </c>
      <c r="S5" s="90" t="s">
        <v>231</v>
      </c>
    </row>
    <row r="6" spans="11:19" x14ac:dyDescent="0.4">
      <c r="L6" s="234"/>
      <c r="M6" s="234"/>
      <c r="N6" s="80"/>
      <c r="O6" s="80"/>
      <c r="P6" s="80"/>
      <c r="Q6" s="80"/>
      <c r="R6" s="233"/>
      <c r="S6" s="90" t="s">
        <v>232</v>
      </c>
    </row>
    <row r="7" spans="11:19" ht="24" x14ac:dyDescent="0.4">
      <c r="L7" s="9"/>
      <c r="M7" s="9"/>
      <c r="N7" s="9"/>
      <c r="O7" s="9"/>
      <c r="P7" s="9"/>
      <c r="Q7" s="9"/>
      <c r="R7" s="233"/>
      <c r="S7" s="90" t="s">
        <v>230</v>
      </c>
    </row>
    <row r="8" spans="11:19" x14ac:dyDescent="0.4">
      <c r="L8" s="9"/>
      <c r="M8" s="9"/>
      <c r="N8" s="9"/>
      <c r="O8" s="9"/>
      <c r="P8" s="9"/>
      <c r="Q8" s="9"/>
      <c r="R8" s="233" t="s">
        <v>233</v>
      </c>
      <c r="S8" s="90" t="s">
        <v>235</v>
      </c>
    </row>
    <row r="9" spans="11:19" x14ac:dyDescent="0.4">
      <c r="L9" s="75"/>
      <c r="M9" s="75"/>
      <c r="N9" s="75"/>
      <c r="O9" s="75"/>
      <c r="P9" s="75"/>
      <c r="Q9" s="75"/>
      <c r="R9" s="233"/>
      <c r="S9" s="90" t="s">
        <v>234</v>
      </c>
    </row>
    <row r="10" spans="11:19" x14ac:dyDescent="0.4">
      <c r="L10" s="75"/>
      <c r="M10" s="75"/>
      <c r="N10" s="75"/>
      <c r="O10" s="75"/>
      <c r="P10" s="75"/>
      <c r="Q10" s="75"/>
      <c r="R10" s="233"/>
      <c r="S10" s="90" t="s">
        <v>236</v>
      </c>
    </row>
    <row r="11" spans="11:19" x14ac:dyDescent="0.4">
      <c r="L11" s="76"/>
      <c r="M11" s="76"/>
      <c r="N11" s="76"/>
      <c r="O11" s="76"/>
      <c r="P11" s="76"/>
      <c r="Q11" s="76"/>
      <c r="R11" s="89" t="s">
        <v>237</v>
      </c>
      <c r="S11" s="90" t="s">
        <v>238</v>
      </c>
    </row>
    <row r="12" spans="11:19" x14ac:dyDescent="0.4">
      <c r="L12" s="76"/>
      <c r="M12" s="76"/>
      <c r="N12" s="76"/>
      <c r="O12" s="76"/>
      <c r="P12" s="76"/>
      <c r="Q12" s="76"/>
      <c r="R12" s="89" t="s">
        <v>114</v>
      </c>
      <c r="S12" s="90" t="s">
        <v>239</v>
      </c>
    </row>
    <row r="13" spans="11:19" ht="45.9" customHeight="1" x14ac:dyDescent="0.4">
      <c r="L13" s="76"/>
      <c r="M13" s="76"/>
      <c r="N13" s="76"/>
      <c r="O13" s="76"/>
      <c r="P13" s="76"/>
      <c r="Q13" s="76"/>
      <c r="R13" s="89" t="s">
        <v>267</v>
      </c>
      <c r="S13" s="90" t="s">
        <v>240</v>
      </c>
    </row>
    <row r="14" spans="11:19" x14ac:dyDescent="0.4">
      <c r="L14" s="235"/>
      <c r="M14" s="235"/>
      <c r="N14" s="81"/>
      <c r="O14" s="81"/>
      <c r="P14" s="81"/>
      <c r="Q14" s="81"/>
      <c r="R14" s="89" t="s">
        <v>4</v>
      </c>
      <c r="S14" s="90" t="s">
        <v>242</v>
      </c>
    </row>
    <row r="15" spans="11:19" ht="24" x14ac:dyDescent="0.4">
      <c r="L15" s="8"/>
      <c r="N15" s="187"/>
      <c r="O15" s="188" t="s">
        <v>265</v>
      </c>
      <c r="P15" s="189"/>
      <c r="Q15" s="217"/>
      <c r="R15" s="89" t="s">
        <v>5</v>
      </c>
      <c r="S15" s="90" t="s">
        <v>243</v>
      </c>
    </row>
    <row r="16" spans="11:19" ht="31.75" customHeight="1" x14ac:dyDescent="0.4">
      <c r="K16" s="94"/>
      <c r="L16" s="95"/>
      <c r="N16" s="97" t="s">
        <v>266</v>
      </c>
      <c r="O16" s="98" t="s">
        <v>204</v>
      </c>
      <c r="P16" s="98" t="s">
        <v>213</v>
      </c>
      <c r="Q16" s="218"/>
      <c r="R16" s="89" t="s">
        <v>244</v>
      </c>
      <c r="S16" s="90" t="s">
        <v>245</v>
      </c>
    </row>
    <row r="17" spans="1:19" x14ac:dyDescent="0.4">
      <c r="C17" s="28" t="str">
        <f>"Customer count = "&amp;COUNTA(_xlfn.UNIQUE(C19:INDEX(C:C, Max_rows)))-1</f>
        <v>Customer count = 1</v>
      </c>
      <c r="D17" s="54"/>
      <c r="F17" s="8" t="str" cm="1">
        <f t="array" ref="F17">"Use case count = "&amp;_xlfn.LET(
_xlpm.combined_values_raw,C19:INDEX(C:C,Max_rows)&amp;"|"&amp;F19:INDEX(F:F,Max_rows),
_xlpm.is_valid_row,(C19:INDEX(C:C,Max_rows)&lt;&gt;"")*(F19:INDEX(F:F,Max_rows)&lt;&gt;""),
_xlpm.filtered_combined,_xlfn._xlws.FILTER(_xlpm.combined_values_raw,_xlpm.is_valid_row,""),
_xlpm.unique_filtered,_xlfn.UNIQUE(_xlpm.filtered_combined),
SUMPRODUCT(N(_xlpm.unique_filtered&lt;&gt;""))
)</f>
        <v>Use case count = 1</v>
      </c>
      <c r="K17" s="87"/>
      <c r="L17" s="96"/>
      <c r="N17" s="99" cm="1">
        <f t="array" ref="N17">IFERROR(SUM(
   _xlfn.BYROW(
      _xlfn.UNIQUE(_xlfn._xlws.FILTER(_xlfn.CHOOSECOLS($C$19:INDEX($E:$E, Max_rows), 1, 3), $C$19:INDEX($C:$C, Max_rows)&lt;&gt;"")),
      _xlfn.LAMBDA(_xlpm.row,
         _xlfn.MAXIFS(N19:INDEX(N:N, Max_rows), $C$19:INDEX($C:$C, Max_rows), INDEX(_xlpm.row, 1), $E$19:INDEX($E:$E, Max_rows), INDEX(_xlpm.row, 2))
      )
   )
),0)</f>
        <v>0</v>
      </c>
      <c r="O17" s="99" cm="1">
        <f t="array" ref="O17">IFERROR(SUM(
   _xlfn.BYROW(
      _xlfn.UNIQUE(_xlfn._xlws.FILTER(_xlfn.CHOOSECOLS($C$19:INDEX($E:$E, Max_rows), 1, 3), $C$19:INDEX($C:$C, Max_rows)&lt;&gt;"")),
      _xlfn.LAMBDA(_xlpm.row,
         _xlfn.MAXIFS(O19:INDEX(O:O, Max_rows), $C$19:INDEX($C:$C, Max_rows), INDEX(_xlpm.row, 1), $E$19:INDEX($E:$E, Max_rows), INDEX(_xlpm.row, 2))
      )
   )
),0)</f>
        <v>0</v>
      </c>
      <c r="P17" s="100" cm="1">
        <f t="array" ref="P17">IFERROR(SUM(
   _xlfn.BYROW(
      _xlfn.UNIQUE(_xlfn._xlws.FILTER(_xlfn.CHOOSECOLS($C$19:INDEX($E:$E, Max_rows), 1, 3), $C$19:INDEX($C:$C, Max_rows)&lt;&gt;"")),
      _xlfn.LAMBDA(_xlpm.row,
         _xlfn.MAXIFS(P19:INDEX(P:P, Max_rows), $C$19:INDEX($C:$C, Max_rows), INDEX(_xlpm.row, 1), $E$19:INDEX($E:$E, Max_rows), INDEX(_xlpm.row, 2))
      )
   )
),0)</f>
        <v>0</v>
      </c>
      <c r="Q17" s="219"/>
      <c r="R17" s="89" t="s">
        <v>246</v>
      </c>
      <c r="S17" s="90" t="s">
        <v>247</v>
      </c>
    </row>
    <row r="18" spans="1:19" s="47" customFormat="1" ht="29.15" x14ac:dyDescent="0.4">
      <c r="A18" s="61" t="s">
        <v>384</v>
      </c>
      <c r="B18" s="197" t="s">
        <v>64</v>
      </c>
      <c r="C18" s="197" t="s">
        <v>65</v>
      </c>
      <c r="D18" s="197" t="s">
        <v>268</v>
      </c>
      <c r="E18" s="197" t="s">
        <v>4</v>
      </c>
      <c r="F18" s="197" t="s">
        <v>5</v>
      </c>
      <c r="G18" s="197" t="s">
        <v>66</v>
      </c>
      <c r="H18" s="197" t="s">
        <v>264</v>
      </c>
      <c r="I18" s="197" t="s">
        <v>210</v>
      </c>
      <c r="J18" s="197" t="s">
        <v>67</v>
      </c>
      <c r="K18" s="197" t="s">
        <v>206</v>
      </c>
      <c r="L18" s="197" t="s">
        <v>198</v>
      </c>
      <c r="M18" s="197" t="s">
        <v>68</v>
      </c>
      <c r="N18" s="47" t="s">
        <v>69</v>
      </c>
      <c r="O18" s="47" t="s">
        <v>70</v>
      </c>
      <c r="P18" s="47" t="s">
        <v>212</v>
      </c>
      <c r="R18" s="89" t="s">
        <v>248</v>
      </c>
      <c r="S18" s="90" t="s">
        <v>249</v>
      </c>
    </row>
    <row r="19" spans="1:19" x14ac:dyDescent="0.4">
      <c r="A19" t="s">
        <v>393</v>
      </c>
      <c r="B19" t="s">
        <v>393</v>
      </c>
      <c r="C19" t="s">
        <v>393</v>
      </c>
      <c r="D19" t="s">
        <v>393</v>
      </c>
      <c r="E19" t="s">
        <v>393</v>
      </c>
      <c r="F19" t="s">
        <v>393</v>
      </c>
      <c r="G19" t="s">
        <v>57</v>
      </c>
      <c r="H19">
        <v>46165</v>
      </c>
      <c r="I19" t="s">
        <v>71</v>
      </c>
      <c r="J19" t="s">
        <v>393</v>
      </c>
      <c r="K19" t="s">
        <v>393</v>
      </c>
      <c r="L19" t="s">
        <v>393</v>
      </c>
      <c r="M19" s="62" t="s">
        <v>393</v>
      </c>
      <c r="N19" s="195">
        <v>0</v>
      </c>
      <c r="O19" s="195">
        <v>0</v>
      </c>
      <c r="P19" s="196">
        <v>0</v>
      </c>
      <c r="Q19" s="196"/>
      <c r="R19" s="233" t="s">
        <v>252</v>
      </c>
      <c r="S19" s="90" t="s">
        <v>253</v>
      </c>
    </row>
    <row r="20" spans="1:19" x14ac:dyDescent="0.4">
      <c r="Q20" s="196"/>
      <c r="R20" s="233"/>
      <c r="S20" s="90" t="s">
        <v>254</v>
      </c>
    </row>
    <row r="21" spans="1:19" x14ac:dyDescent="0.4">
      <c r="Q21" s="196"/>
      <c r="R21" s="233"/>
      <c r="S21" s="90" t="s">
        <v>255</v>
      </c>
    </row>
    <row r="22" spans="1:19" x14ac:dyDescent="0.4">
      <c r="Q22" s="196"/>
      <c r="R22" s="233"/>
      <c r="S22" s="90" t="s">
        <v>261</v>
      </c>
    </row>
    <row r="23" spans="1:19" x14ac:dyDescent="0.4">
      <c r="Q23" s="196"/>
      <c r="R23" s="89" t="s">
        <v>257</v>
      </c>
      <c r="S23" s="90" t="s">
        <v>260</v>
      </c>
    </row>
    <row r="24" spans="1:19" x14ac:dyDescent="0.4">
      <c r="Q24" s="196"/>
      <c r="R24" s="89" t="s">
        <v>85</v>
      </c>
      <c r="S24" s="90" t="s">
        <v>258</v>
      </c>
    </row>
    <row r="25" spans="1:19" x14ac:dyDescent="0.4">
      <c r="Q25" s="196"/>
      <c r="R25" s="89" t="s">
        <v>330</v>
      </c>
      <c r="S25" s="221" t="s">
        <v>331</v>
      </c>
    </row>
    <row r="26" spans="1:19" ht="15" thickBot="1" x14ac:dyDescent="0.45">
      <c r="Q26" s="196"/>
      <c r="R26" s="220" t="s">
        <v>397</v>
      </c>
      <c r="S26" s="91" t="s">
        <v>398</v>
      </c>
    </row>
    <row r="27" spans="1:19" x14ac:dyDescent="0.4">
      <c r="Q27" s="196"/>
      <c r="R27" s="86"/>
    </row>
    <row r="28" spans="1:19" x14ac:dyDescent="0.4">
      <c r="Q28" s="196"/>
    </row>
    <row r="29" spans="1:19" x14ac:dyDescent="0.4">
      <c r="Q29" s="196"/>
    </row>
    <row r="30" spans="1:19" x14ac:dyDescent="0.4">
      <c r="Q30" s="196"/>
    </row>
    <row r="31" spans="1:19" x14ac:dyDescent="0.4">
      <c r="Q31" s="196"/>
    </row>
    <row r="32" spans="1:19" x14ac:dyDescent="0.4">
      <c r="Q32" s="196"/>
    </row>
    <row r="33" spans="17:17" x14ac:dyDescent="0.4">
      <c r="Q33" s="196"/>
    </row>
    <row r="34" spans="17:17" x14ac:dyDescent="0.4">
      <c r="Q34" s="196"/>
    </row>
    <row r="35" spans="17:17" x14ac:dyDescent="0.4">
      <c r="Q35" s="196"/>
    </row>
    <row r="36" spans="17:17" x14ac:dyDescent="0.4">
      <c r="Q36" s="196"/>
    </row>
    <row r="37" spans="17:17" x14ac:dyDescent="0.4">
      <c r="Q37" s="196"/>
    </row>
    <row r="38" spans="17:17" x14ac:dyDescent="0.4">
      <c r="Q38" s="196"/>
    </row>
    <row r="39" spans="17:17" x14ac:dyDescent="0.4">
      <c r="Q39" s="196"/>
    </row>
    <row r="40" spans="17:17" x14ac:dyDescent="0.4">
      <c r="Q40" s="196"/>
    </row>
    <row r="41" spans="17:17" x14ac:dyDescent="0.4">
      <c r="Q41" s="196"/>
    </row>
    <row r="42" spans="17:17" x14ac:dyDescent="0.4">
      <c r="Q42" s="196"/>
    </row>
    <row r="43" spans="17:17" x14ac:dyDescent="0.4">
      <c r="Q43" s="196"/>
    </row>
    <row r="44" spans="17:17" x14ac:dyDescent="0.4">
      <c r="Q44" s="196"/>
    </row>
    <row r="45" spans="17:17" x14ac:dyDescent="0.4">
      <c r="Q45" s="196"/>
    </row>
    <row r="46" spans="17:17" x14ac:dyDescent="0.4">
      <c r="Q46" s="196"/>
    </row>
    <row r="47" spans="17:17" x14ac:dyDescent="0.4">
      <c r="Q47" s="196"/>
    </row>
    <row r="48" spans="17:17" x14ac:dyDescent="0.4">
      <c r="Q48" s="196"/>
    </row>
    <row r="49" spans="17:17" x14ac:dyDescent="0.4">
      <c r="Q49" s="196"/>
    </row>
    <row r="50" spans="17:17" x14ac:dyDescent="0.4">
      <c r="Q50" s="196"/>
    </row>
    <row r="51" spans="17:17" x14ac:dyDescent="0.4">
      <c r="Q51" s="196"/>
    </row>
    <row r="52" spans="17:17" x14ac:dyDescent="0.4">
      <c r="Q52" s="196"/>
    </row>
    <row r="53" spans="17:17" x14ac:dyDescent="0.4">
      <c r="Q53" s="196"/>
    </row>
    <row r="54" spans="17:17" x14ac:dyDescent="0.4">
      <c r="Q54" s="196"/>
    </row>
    <row r="55" spans="17:17" x14ac:dyDescent="0.4">
      <c r="Q55" s="196"/>
    </row>
    <row r="56" spans="17:17" x14ac:dyDescent="0.4">
      <c r="Q56" s="196"/>
    </row>
    <row r="57" spans="17:17" x14ac:dyDescent="0.4">
      <c r="Q57" s="196"/>
    </row>
    <row r="58" spans="17:17" x14ac:dyDescent="0.4">
      <c r="Q58" s="196"/>
    </row>
    <row r="59" spans="17:17" x14ac:dyDescent="0.4">
      <c r="Q59" s="196"/>
    </row>
    <row r="60" spans="17:17" x14ac:dyDescent="0.4">
      <c r="Q60" s="196"/>
    </row>
    <row r="61" spans="17:17" x14ac:dyDescent="0.4">
      <c r="Q61" s="196"/>
    </row>
    <row r="62" spans="17:17" x14ac:dyDescent="0.4">
      <c r="Q62" s="196"/>
    </row>
    <row r="63" spans="17:17" x14ac:dyDescent="0.4">
      <c r="Q63" s="196"/>
    </row>
    <row r="64" spans="17:17" x14ac:dyDescent="0.4">
      <c r="Q64" s="196"/>
    </row>
    <row r="65" spans="17:17" x14ac:dyDescent="0.4">
      <c r="Q65" s="196"/>
    </row>
    <row r="66" spans="17:17" x14ac:dyDescent="0.4">
      <c r="Q66" s="196"/>
    </row>
    <row r="67" spans="17:17" x14ac:dyDescent="0.4">
      <c r="Q67" s="196"/>
    </row>
    <row r="68" spans="17:17" x14ac:dyDescent="0.4">
      <c r="Q68" s="196"/>
    </row>
    <row r="69" spans="17:17" x14ac:dyDescent="0.4">
      <c r="Q69" s="196"/>
    </row>
    <row r="70" spans="17:17" x14ac:dyDescent="0.4">
      <c r="Q70" s="196"/>
    </row>
    <row r="71" spans="17:17" x14ac:dyDescent="0.4">
      <c r="Q71" s="196"/>
    </row>
    <row r="72" spans="17:17" x14ac:dyDescent="0.4">
      <c r="Q72" s="196"/>
    </row>
    <row r="73" spans="17:17" x14ac:dyDescent="0.4">
      <c r="Q73" s="196"/>
    </row>
    <row r="74" spans="17:17" x14ac:dyDescent="0.4">
      <c r="Q74" s="196"/>
    </row>
    <row r="75" spans="17:17" x14ac:dyDescent="0.4">
      <c r="Q75" s="196"/>
    </row>
    <row r="76" spans="17:17" x14ac:dyDescent="0.4">
      <c r="Q76" s="196"/>
    </row>
    <row r="77" spans="17:17" x14ac:dyDescent="0.4">
      <c r="Q77" s="196"/>
    </row>
    <row r="78" spans="17:17" x14ac:dyDescent="0.4">
      <c r="Q78" s="196"/>
    </row>
    <row r="79" spans="17:17" x14ac:dyDescent="0.4">
      <c r="Q79" s="196"/>
    </row>
    <row r="80" spans="17:17" x14ac:dyDescent="0.4">
      <c r="Q80" s="196"/>
    </row>
    <row r="81" spans="17:17" x14ac:dyDescent="0.4">
      <c r="Q81" s="196"/>
    </row>
    <row r="82" spans="17:17" x14ac:dyDescent="0.4">
      <c r="Q82" s="196"/>
    </row>
    <row r="83" spans="17:17" x14ac:dyDescent="0.4">
      <c r="Q83" s="196"/>
    </row>
    <row r="84" spans="17:17" x14ac:dyDescent="0.4">
      <c r="Q84" s="196"/>
    </row>
    <row r="85" spans="17:17" x14ac:dyDescent="0.4">
      <c r="Q85" s="196"/>
    </row>
    <row r="86" spans="17:17" x14ac:dyDescent="0.4">
      <c r="Q86" s="196"/>
    </row>
    <row r="87" spans="17:17" x14ac:dyDescent="0.4">
      <c r="Q87" s="196"/>
    </row>
    <row r="88" spans="17:17" x14ac:dyDescent="0.4">
      <c r="Q88" s="196"/>
    </row>
    <row r="89" spans="17:17" x14ac:dyDescent="0.4">
      <c r="Q89" s="196"/>
    </row>
    <row r="90" spans="17:17" x14ac:dyDescent="0.4">
      <c r="Q90" s="196"/>
    </row>
    <row r="91" spans="17:17" x14ac:dyDescent="0.4">
      <c r="Q91" s="196"/>
    </row>
    <row r="92" spans="17:17" x14ac:dyDescent="0.4">
      <c r="Q92" s="196"/>
    </row>
    <row r="93" spans="17:17" x14ac:dyDescent="0.4">
      <c r="Q93" s="196"/>
    </row>
    <row r="94" spans="17:17" x14ac:dyDescent="0.4">
      <c r="Q94" s="196"/>
    </row>
    <row r="95" spans="17:17" x14ac:dyDescent="0.4">
      <c r="Q95" s="196"/>
    </row>
    <row r="96" spans="17:17" x14ac:dyDescent="0.4">
      <c r="Q96" s="196"/>
    </row>
    <row r="97" spans="17:17" x14ac:dyDescent="0.4">
      <c r="Q97" s="196"/>
    </row>
    <row r="98" spans="17:17" x14ac:dyDescent="0.4">
      <c r="Q98" s="196"/>
    </row>
    <row r="99" spans="17:17" x14ac:dyDescent="0.4">
      <c r="Q99" s="196"/>
    </row>
    <row r="100" spans="17:17" x14ac:dyDescent="0.4">
      <c r="Q100" s="196"/>
    </row>
    <row r="101" spans="17:17" x14ac:dyDescent="0.4">
      <c r="Q101" s="196"/>
    </row>
    <row r="102" spans="17:17" x14ac:dyDescent="0.4">
      <c r="Q102" s="196"/>
    </row>
    <row r="103" spans="17:17" x14ac:dyDescent="0.4">
      <c r="Q103" s="196"/>
    </row>
    <row r="104" spans="17:17" x14ac:dyDescent="0.4">
      <c r="Q104" s="196"/>
    </row>
    <row r="105" spans="17:17" x14ac:dyDescent="0.4">
      <c r="Q105" s="196"/>
    </row>
    <row r="106" spans="17:17" x14ac:dyDescent="0.4">
      <c r="Q106" s="196"/>
    </row>
    <row r="107" spans="17:17" x14ac:dyDescent="0.4">
      <c r="Q107" s="196"/>
    </row>
    <row r="108" spans="17:17" x14ac:dyDescent="0.4">
      <c r="Q108" s="196"/>
    </row>
    <row r="109" spans="17:17" x14ac:dyDescent="0.4">
      <c r="Q109" s="196"/>
    </row>
    <row r="110" spans="17:17" x14ac:dyDescent="0.4">
      <c r="Q110" s="196"/>
    </row>
    <row r="111" spans="17:17" x14ac:dyDescent="0.4">
      <c r="Q111" s="196"/>
    </row>
    <row r="112" spans="17:17" x14ac:dyDescent="0.4">
      <c r="Q112" s="196"/>
    </row>
    <row r="113" spans="17:17" x14ac:dyDescent="0.4">
      <c r="Q113" s="196"/>
    </row>
    <row r="114" spans="17:17" x14ac:dyDescent="0.4">
      <c r="Q114" s="196"/>
    </row>
    <row r="115" spans="17:17" x14ac:dyDescent="0.4">
      <c r="Q115" s="196"/>
    </row>
    <row r="116" spans="17:17" x14ac:dyDescent="0.4">
      <c r="Q116" s="196"/>
    </row>
    <row r="117" spans="17:17" x14ac:dyDescent="0.4">
      <c r="Q117" s="196"/>
    </row>
    <row r="118" spans="17:17" x14ac:dyDescent="0.4">
      <c r="Q118" s="196"/>
    </row>
    <row r="119" spans="17:17" x14ac:dyDescent="0.4">
      <c r="Q119" s="196"/>
    </row>
    <row r="120" spans="17:17" x14ac:dyDescent="0.4">
      <c r="Q120" s="196"/>
    </row>
    <row r="121" spans="17:17" x14ac:dyDescent="0.4">
      <c r="Q121" s="196"/>
    </row>
    <row r="122" spans="17:17" x14ac:dyDescent="0.4">
      <c r="Q122" s="196"/>
    </row>
    <row r="123" spans="17:17" x14ac:dyDescent="0.4">
      <c r="Q123" s="196"/>
    </row>
    <row r="124" spans="17:17" x14ac:dyDescent="0.4">
      <c r="Q124" s="196"/>
    </row>
    <row r="125" spans="17:17" x14ac:dyDescent="0.4">
      <c r="Q125" s="196"/>
    </row>
    <row r="126" spans="17:17" x14ac:dyDescent="0.4">
      <c r="Q126" s="196"/>
    </row>
    <row r="127" spans="17:17" x14ac:dyDescent="0.4">
      <c r="Q127" s="196"/>
    </row>
    <row r="128" spans="17:17" x14ac:dyDescent="0.4">
      <c r="Q128" s="196"/>
    </row>
    <row r="129" spans="17:17" x14ac:dyDescent="0.4">
      <c r="Q129" s="196"/>
    </row>
    <row r="130" spans="17:17" x14ac:dyDescent="0.4">
      <c r="Q130" s="196"/>
    </row>
    <row r="131" spans="17:17" x14ac:dyDescent="0.4">
      <c r="Q131" s="196"/>
    </row>
    <row r="132" spans="17:17" x14ac:dyDescent="0.4">
      <c r="Q132" s="196"/>
    </row>
    <row r="133" spans="17:17" x14ac:dyDescent="0.4">
      <c r="Q133" s="196"/>
    </row>
    <row r="134" spans="17:17" x14ac:dyDescent="0.4">
      <c r="Q134" s="196"/>
    </row>
    <row r="135" spans="17:17" x14ac:dyDescent="0.4">
      <c r="Q135" s="196"/>
    </row>
    <row r="136" spans="17:17" x14ac:dyDescent="0.4">
      <c r="Q136" s="196"/>
    </row>
    <row r="137" spans="17:17" x14ac:dyDescent="0.4">
      <c r="Q137" s="196"/>
    </row>
    <row r="138" spans="17:17" x14ac:dyDescent="0.4">
      <c r="Q138" s="196"/>
    </row>
    <row r="139" spans="17:17" x14ac:dyDescent="0.4">
      <c r="Q139" s="196"/>
    </row>
    <row r="140" spans="17:17" x14ac:dyDescent="0.4">
      <c r="Q140" s="196"/>
    </row>
    <row r="141" spans="17:17" x14ac:dyDescent="0.4">
      <c r="Q141" s="196"/>
    </row>
    <row r="142" spans="17:17" x14ac:dyDescent="0.4">
      <c r="Q142" s="196"/>
    </row>
    <row r="143" spans="17:17" x14ac:dyDescent="0.4">
      <c r="Q143" s="196"/>
    </row>
    <row r="144" spans="17:17" x14ac:dyDescent="0.4">
      <c r="Q144" s="196"/>
    </row>
    <row r="145" spans="17:17" x14ac:dyDescent="0.4">
      <c r="Q145" s="196"/>
    </row>
    <row r="146" spans="17:17" x14ac:dyDescent="0.4">
      <c r="Q146" s="196"/>
    </row>
    <row r="147" spans="17:17" x14ac:dyDescent="0.4">
      <c r="Q147" s="196"/>
    </row>
    <row r="148" spans="17:17" x14ac:dyDescent="0.4">
      <c r="Q148" s="196"/>
    </row>
    <row r="149" spans="17:17" x14ac:dyDescent="0.4">
      <c r="Q149" s="196"/>
    </row>
    <row r="150" spans="17:17" x14ac:dyDescent="0.4">
      <c r="Q150" s="196"/>
    </row>
    <row r="151" spans="17:17" x14ac:dyDescent="0.4">
      <c r="Q151" s="196"/>
    </row>
    <row r="152" spans="17:17" x14ac:dyDescent="0.4">
      <c r="Q152" s="196"/>
    </row>
    <row r="153" spans="17:17" x14ac:dyDescent="0.4">
      <c r="Q153" s="196"/>
    </row>
    <row r="154" spans="17:17" x14ac:dyDescent="0.4">
      <c r="Q154" s="196"/>
    </row>
    <row r="155" spans="17:17" x14ac:dyDescent="0.4">
      <c r="Q155" s="196"/>
    </row>
    <row r="156" spans="17:17" x14ac:dyDescent="0.4">
      <c r="Q156" s="196"/>
    </row>
    <row r="157" spans="17:17" x14ac:dyDescent="0.4">
      <c r="Q157" s="196"/>
    </row>
    <row r="158" spans="17:17" x14ac:dyDescent="0.4">
      <c r="Q158" s="196"/>
    </row>
    <row r="159" spans="17:17" x14ac:dyDescent="0.4">
      <c r="Q159" s="196"/>
    </row>
    <row r="160" spans="17:17" x14ac:dyDescent="0.4">
      <c r="Q160" s="196"/>
    </row>
    <row r="161" spans="17:17" x14ac:dyDescent="0.4">
      <c r="Q161" s="196"/>
    </row>
    <row r="162" spans="17:17" x14ac:dyDescent="0.4">
      <c r="Q162" s="196"/>
    </row>
    <row r="163" spans="17:17" x14ac:dyDescent="0.4">
      <c r="Q163" s="196"/>
    </row>
    <row r="164" spans="17:17" x14ac:dyDescent="0.4">
      <c r="Q164" s="196"/>
    </row>
    <row r="165" spans="17:17" x14ac:dyDescent="0.4">
      <c r="Q165" s="196"/>
    </row>
    <row r="166" spans="17:17" x14ac:dyDescent="0.4">
      <c r="Q166" s="196"/>
    </row>
    <row r="167" spans="17:17" x14ac:dyDescent="0.4">
      <c r="Q167" s="196"/>
    </row>
    <row r="168" spans="17:17" x14ac:dyDescent="0.4">
      <c r="Q168" s="196"/>
    </row>
    <row r="169" spans="17:17" x14ac:dyDescent="0.4">
      <c r="Q169" s="196"/>
    </row>
    <row r="170" spans="17:17" x14ac:dyDescent="0.4">
      <c r="Q170" s="196"/>
    </row>
    <row r="171" spans="17:17" x14ac:dyDescent="0.4">
      <c r="Q171" s="196"/>
    </row>
    <row r="172" spans="17:17" x14ac:dyDescent="0.4">
      <c r="Q172" s="196"/>
    </row>
    <row r="173" spans="17:17" x14ac:dyDescent="0.4">
      <c r="Q173" s="196"/>
    </row>
    <row r="174" spans="17:17" x14ac:dyDescent="0.4">
      <c r="Q174" s="196"/>
    </row>
    <row r="175" spans="17:17" x14ac:dyDescent="0.4">
      <c r="Q175" s="196"/>
    </row>
    <row r="176" spans="17:17" x14ac:dyDescent="0.4">
      <c r="Q176" s="196"/>
    </row>
    <row r="177" spans="17:17" x14ac:dyDescent="0.4">
      <c r="Q177" s="196"/>
    </row>
    <row r="178" spans="17:17" x14ac:dyDescent="0.4">
      <c r="Q178" s="196"/>
    </row>
    <row r="179" spans="17:17" x14ac:dyDescent="0.4">
      <c r="Q179" s="196"/>
    </row>
    <row r="180" spans="17:17" x14ac:dyDescent="0.4">
      <c r="Q180" s="196"/>
    </row>
    <row r="181" spans="17:17" x14ac:dyDescent="0.4">
      <c r="Q181" s="196"/>
    </row>
    <row r="182" spans="17:17" x14ac:dyDescent="0.4">
      <c r="Q182" s="196"/>
    </row>
    <row r="183" spans="17:17" x14ac:dyDescent="0.4">
      <c r="Q183" s="196"/>
    </row>
    <row r="184" spans="17:17" x14ac:dyDescent="0.4">
      <c r="Q184" s="196"/>
    </row>
    <row r="185" spans="17:17" x14ac:dyDescent="0.4">
      <c r="Q185" s="196"/>
    </row>
    <row r="186" spans="17:17" x14ac:dyDescent="0.4">
      <c r="Q186" s="196"/>
    </row>
    <row r="187" spans="17:17" x14ac:dyDescent="0.4">
      <c r="Q187" s="196"/>
    </row>
    <row r="188" spans="17:17" x14ac:dyDescent="0.4">
      <c r="Q188" s="196"/>
    </row>
    <row r="189" spans="17:17" x14ac:dyDescent="0.4">
      <c r="Q189" s="196"/>
    </row>
    <row r="190" spans="17:17" x14ac:dyDescent="0.4">
      <c r="Q190" s="196"/>
    </row>
    <row r="191" spans="17:17" x14ac:dyDescent="0.4">
      <c r="Q191" s="196"/>
    </row>
    <row r="192" spans="17:17" x14ac:dyDescent="0.4">
      <c r="Q192" s="196"/>
    </row>
    <row r="193" spans="17:17" x14ac:dyDescent="0.4">
      <c r="Q193" s="196"/>
    </row>
    <row r="194" spans="17:17" x14ac:dyDescent="0.4">
      <c r="Q194" s="196"/>
    </row>
    <row r="195" spans="17:17" x14ac:dyDescent="0.4">
      <c r="Q195" s="196"/>
    </row>
    <row r="196" spans="17:17" x14ac:dyDescent="0.4">
      <c r="Q196" s="196"/>
    </row>
    <row r="197" spans="17:17" x14ac:dyDescent="0.4">
      <c r="Q197" s="196"/>
    </row>
    <row r="198" spans="17:17" x14ac:dyDescent="0.4">
      <c r="Q198" s="196"/>
    </row>
    <row r="199" spans="17:17" x14ac:dyDescent="0.4">
      <c r="Q199" s="196"/>
    </row>
    <row r="200" spans="17:17" x14ac:dyDescent="0.4">
      <c r="Q200" s="196"/>
    </row>
    <row r="201" spans="17:17" x14ac:dyDescent="0.4">
      <c r="Q201" s="196"/>
    </row>
    <row r="202" spans="17:17" x14ac:dyDescent="0.4">
      <c r="Q202" s="196"/>
    </row>
    <row r="203" spans="17:17" x14ac:dyDescent="0.4">
      <c r="Q203" s="196"/>
    </row>
    <row r="204" spans="17:17" x14ac:dyDescent="0.4">
      <c r="Q204" s="196"/>
    </row>
    <row r="205" spans="17:17" x14ac:dyDescent="0.4">
      <c r="Q205" s="196"/>
    </row>
    <row r="206" spans="17:17" x14ac:dyDescent="0.4">
      <c r="Q206" s="196"/>
    </row>
    <row r="207" spans="17:17" x14ac:dyDescent="0.4">
      <c r="Q207" s="196"/>
    </row>
    <row r="208" spans="17:17" x14ac:dyDescent="0.4">
      <c r="Q208" s="196"/>
    </row>
    <row r="209" spans="17:17" x14ac:dyDescent="0.4">
      <c r="Q209" s="196"/>
    </row>
    <row r="210" spans="17:17" x14ac:dyDescent="0.4">
      <c r="Q210" s="196"/>
    </row>
    <row r="211" spans="17:17" x14ac:dyDescent="0.4">
      <c r="Q211" s="196"/>
    </row>
    <row r="212" spans="17:17" x14ac:dyDescent="0.4">
      <c r="Q212" s="196"/>
    </row>
    <row r="213" spans="17:17" x14ac:dyDescent="0.4">
      <c r="Q213" s="196"/>
    </row>
    <row r="214" spans="17:17" x14ac:dyDescent="0.4">
      <c r="Q214" s="196"/>
    </row>
    <row r="215" spans="17:17" x14ac:dyDescent="0.4">
      <c r="Q215" s="196"/>
    </row>
    <row r="216" spans="17:17" x14ac:dyDescent="0.4">
      <c r="Q216" s="196"/>
    </row>
    <row r="217" spans="17:17" x14ac:dyDescent="0.4">
      <c r="Q217" s="196"/>
    </row>
    <row r="218" spans="17:17" x14ac:dyDescent="0.4">
      <c r="Q218" s="196"/>
    </row>
    <row r="219" spans="17:17" x14ac:dyDescent="0.4">
      <c r="Q219" s="196"/>
    </row>
    <row r="220" spans="17:17" x14ac:dyDescent="0.4">
      <c r="Q220" s="196"/>
    </row>
    <row r="221" spans="17:17" x14ac:dyDescent="0.4">
      <c r="Q221" s="196"/>
    </row>
    <row r="222" spans="17:17" x14ac:dyDescent="0.4">
      <c r="Q222" s="196"/>
    </row>
    <row r="223" spans="17:17" x14ac:dyDescent="0.4">
      <c r="Q223" s="196"/>
    </row>
    <row r="224" spans="17:17" x14ac:dyDescent="0.4">
      <c r="Q224" s="196"/>
    </row>
    <row r="225" spans="17:17" x14ac:dyDescent="0.4">
      <c r="Q225" s="196"/>
    </row>
    <row r="226" spans="17:17" x14ac:dyDescent="0.4">
      <c r="Q226" s="196"/>
    </row>
    <row r="227" spans="17:17" x14ac:dyDescent="0.4">
      <c r="Q227" s="196"/>
    </row>
    <row r="228" spans="17:17" x14ac:dyDescent="0.4">
      <c r="Q228" s="196"/>
    </row>
    <row r="229" spans="17:17" x14ac:dyDescent="0.4">
      <c r="Q229" s="196"/>
    </row>
    <row r="230" spans="17:17" x14ac:dyDescent="0.4">
      <c r="Q230" s="196"/>
    </row>
    <row r="231" spans="17:17" x14ac:dyDescent="0.4">
      <c r="Q231" s="196"/>
    </row>
    <row r="232" spans="17:17" x14ac:dyDescent="0.4">
      <c r="Q232" s="196"/>
    </row>
    <row r="233" spans="17:17" x14ac:dyDescent="0.4">
      <c r="Q233" s="196"/>
    </row>
    <row r="234" spans="17:17" x14ac:dyDescent="0.4">
      <c r="Q234" s="196"/>
    </row>
    <row r="235" spans="17:17" x14ac:dyDescent="0.4">
      <c r="Q235" s="196"/>
    </row>
    <row r="236" spans="17:17" x14ac:dyDescent="0.4">
      <c r="Q236" s="196"/>
    </row>
    <row r="237" spans="17:17" x14ac:dyDescent="0.4">
      <c r="Q237" s="196"/>
    </row>
    <row r="238" spans="17:17" x14ac:dyDescent="0.4">
      <c r="Q238" s="196"/>
    </row>
    <row r="239" spans="17:17" x14ac:dyDescent="0.4">
      <c r="Q239" s="196"/>
    </row>
    <row r="240" spans="17:17" x14ac:dyDescent="0.4">
      <c r="Q240" s="196"/>
    </row>
    <row r="241" spans="17:17" x14ac:dyDescent="0.4">
      <c r="Q241" s="196"/>
    </row>
    <row r="242" spans="17:17" x14ac:dyDescent="0.4">
      <c r="Q242" s="196"/>
    </row>
    <row r="243" spans="17:17" x14ac:dyDescent="0.4">
      <c r="Q243" s="196"/>
    </row>
    <row r="244" spans="17:17" x14ac:dyDescent="0.4">
      <c r="Q244" s="196"/>
    </row>
    <row r="245" spans="17:17" x14ac:dyDescent="0.4">
      <c r="Q245" s="196"/>
    </row>
    <row r="246" spans="17:17" x14ac:dyDescent="0.4">
      <c r="Q246" s="196"/>
    </row>
    <row r="247" spans="17:17" x14ac:dyDescent="0.4">
      <c r="Q247" s="196"/>
    </row>
    <row r="248" spans="17:17" x14ac:dyDescent="0.4">
      <c r="Q248" s="196"/>
    </row>
    <row r="249" spans="17:17" x14ac:dyDescent="0.4">
      <c r="Q249" s="196"/>
    </row>
    <row r="250" spans="17:17" x14ac:dyDescent="0.4">
      <c r="Q250" s="196"/>
    </row>
    <row r="251" spans="17:17" x14ac:dyDescent="0.4">
      <c r="Q251" s="196"/>
    </row>
    <row r="252" spans="17:17" x14ac:dyDescent="0.4">
      <c r="Q252" s="196"/>
    </row>
    <row r="253" spans="17:17" x14ac:dyDescent="0.4">
      <c r="Q253" s="196"/>
    </row>
    <row r="254" spans="17:17" x14ac:dyDescent="0.4">
      <c r="Q254" s="196"/>
    </row>
    <row r="255" spans="17:17" x14ac:dyDescent="0.4">
      <c r="Q255" s="196"/>
    </row>
    <row r="256" spans="17:17" x14ac:dyDescent="0.4">
      <c r="Q256" s="196"/>
    </row>
    <row r="257" spans="17:17" x14ac:dyDescent="0.4">
      <c r="Q257" s="196"/>
    </row>
    <row r="258" spans="17:17" x14ac:dyDescent="0.4">
      <c r="Q258" s="196"/>
    </row>
    <row r="259" spans="17:17" x14ac:dyDescent="0.4">
      <c r="Q259" s="196"/>
    </row>
    <row r="260" spans="17:17" x14ac:dyDescent="0.4">
      <c r="Q260" s="196"/>
    </row>
    <row r="261" spans="17:17" x14ac:dyDescent="0.4">
      <c r="Q261" s="196"/>
    </row>
    <row r="262" spans="17:17" x14ac:dyDescent="0.4">
      <c r="Q262" s="196"/>
    </row>
    <row r="263" spans="17:17" x14ac:dyDescent="0.4">
      <c r="Q263" s="196"/>
    </row>
    <row r="264" spans="17:17" x14ac:dyDescent="0.4">
      <c r="Q264" s="196"/>
    </row>
    <row r="265" spans="17:17" x14ac:dyDescent="0.4">
      <c r="Q265" s="196"/>
    </row>
    <row r="266" spans="17:17" x14ac:dyDescent="0.4">
      <c r="Q266" s="196"/>
    </row>
    <row r="267" spans="17:17" x14ac:dyDescent="0.4">
      <c r="Q267" s="196"/>
    </row>
    <row r="268" spans="17:17" x14ac:dyDescent="0.4">
      <c r="Q268" s="196"/>
    </row>
    <row r="269" spans="17:17" x14ac:dyDescent="0.4">
      <c r="Q269" s="196"/>
    </row>
    <row r="270" spans="17:17" x14ac:dyDescent="0.4">
      <c r="Q270" s="196"/>
    </row>
    <row r="271" spans="17:17" x14ac:dyDescent="0.4">
      <c r="Q271" s="196"/>
    </row>
    <row r="272" spans="17:17" x14ac:dyDescent="0.4">
      <c r="Q272" s="196"/>
    </row>
    <row r="273" spans="17:17" x14ac:dyDescent="0.4">
      <c r="Q273" s="196"/>
    </row>
    <row r="274" spans="17:17" x14ac:dyDescent="0.4">
      <c r="Q274" s="196"/>
    </row>
    <row r="275" spans="17:17" x14ac:dyDescent="0.4">
      <c r="Q275" s="196"/>
    </row>
    <row r="276" spans="17:17" x14ac:dyDescent="0.4">
      <c r="Q276" s="196"/>
    </row>
    <row r="277" spans="17:17" x14ac:dyDescent="0.4">
      <c r="Q277" s="196"/>
    </row>
    <row r="278" spans="17:17" x14ac:dyDescent="0.4">
      <c r="Q278" s="196"/>
    </row>
    <row r="279" spans="17:17" x14ac:dyDescent="0.4">
      <c r="Q279" s="196"/>
    </row>
    <row r="280" spans="17:17" x14ac:dyDescent="0.4">
      <c r="Q280" s="196"/>
    </row>
    <row r="281" spans="17:17" x14ac:dyDescent="0.4">
      <c r="Q281" s="196"/>
    </row>
    <row r="282" spans="17:17" x14ac:dyDescent="0.4">
      <c r="Q282" s="196"/>
    </row>
    <row r="283" spans="17:17" x14ac:dyDescent="0.4">
      <c r="Q283" s="196"/>
    </row>
    <row r="284" spans="17:17" x14ac:dyDescent="0.4">
      <c r="Q284" s="196"/>
    </row>
    <row r="285" spans="17:17" x14ac:dyDescent="0.4">
      <c r="Q285" s="196"/>
    </row>
    <row r="286" spans="17:17" x14ac:dyDescent="0.4">
      <c r="Q286" s="196"/>
    </row>
    <row r="287" spans="17:17" x14ac:dyDescent="0.4">
      <c r="Q287" s="196"/>
    </row>
    <row r="288" spans="17:17" x14ac:dyDescent="0.4">
      <c r="Q288" s="196"/>
    </row>
    <row r="289" spans="17:17" x14ac:dyDescent="0.4">
      <c r="Q289" s="196"/>
    </row>
    <row r="290" spans="17:17" x14ac:dyDescent="0.4">
      <c r="Q290" s="196"/>
    </row>
    <row r="291" spans="17:17" x14ac:dyDescent="0.4">
      <c r="Q291" s="196"/>
    </row>
    <row r="292" spans="17:17" x14ac:dyDescent="0.4">
      <c r="Q292" s="196"/>
    </row>
    <row r="293" spans="17:17" x14ac:dyDescent="0.4">
      <c r="Q293" s="196"/>
    </row>
    <row r="294" spans="17:17" x14ac:dyDescent="0.4">
      <c r="Q294" s="196"/>
    </row>
    <row r="295" spans="17:17" x14ac:dyDescent="0.4">
      <c r="Q295" s="196"/>
    </row>
    <row r="296" spans="17:17" x14ac:dyDescent="0.4">
      <c r="Q296" s="196"/>
    </row>
    <row r="297" spans="17:17" x14ac:dyDescent="0.4">
      <c r="Q297" s="196"/>
    </row>
    <row r="298" spans="17:17" x14ac:dyDescent="0.4">
      <c r="Q298" s="196"/>
    </row>
    <row r="299" spans="17:17" x14ac:dyDescent="0.4">
      <c r="Q299" s="196"/>
    </row>
    <row r="300" spans="17:17" x14ac:dyDescent="0.4">
      <c r="Q300" s="196"/>
    </row>
    <row r="301" spans="17:17" x14ac:dyDescent="0.4">
      <c r="Q301" s="196"/>
    </row>
    <row r="302" spans="17:17" x14ac:dyDescent="0.4">
      <c r="Q302" s="196"/>
    </row>
    <row r="303" spans="17:17" x14ac:dyDescent="0.4">
      <c r="Q303" s="196"/>
    </row>
    <row r="304" spans="17:17" x14ac:dyDescent="0.4">
      <c r="Q304" s="196"/>
    </row>
    <row r="305" spans="17:17" x14ac:dyDescent="0.4">
      <c r="Q305" s="196"/>
    </row>
    <row r="306" spans="17:17" x14ac:dyDescent="0.4">
      <c r="Q306" s="196"/>
    </row>
    <row r="307" spans="17:17" x14ac:dyDescent="0.4">
      <c r="Q307" s="196"/>
    </row>
    <row r="308" spans="17:17" x14ac:dyDescent="0.4">
      <c r="Q308" s="196"/>
    </row>
    <row r="309" spans="17:17" x14ac:dyDescent="0.4">
      <c r="Q309" s="196"/>
    </row>
    <row r="310" spans="17:17" x14ac:dyDescent="0.4">
      <c r="Q310" s="196"/>
    </row>
    <row r="311" spans="17:17" x14ac:dyDescent="0.4">
      <c r="Q311" s="196"/>
    </row>
    <row r="312" spans="17:17" x14ac:dyDescent="0.4">
      <c r="Q312" s="196"/>
    </row>
    <row r="313" spans="17:17" x14ac:dyDescent="0.4">
      <c r="Q313" s="196"/>
    </row>
    <row r="314" spans="17:17" x14ac:dyDescent="0.4">
      <c r="Q314" s="196"/>
    </row>
    <row r="315" spans="17:17" x14ac:dyDescent="0.4">
      <c r="Q315" s="196"/>
    </row>
    <row r="316" spans="17:17" x14ac:dyDescent="0.4">
      <c r="Q316" s="196"/>
    </row>
    <row r="317" spans="17:17" x14ac:dyDescent="0.4">
      <c r="Q317" s="196"/>
    </row>
    <row r="318" spans="17:17" x14ac:dyDescent="0.4">
      <c r="Q318" s="196"/>
    </row>
    <row r="319" spans="17:17" x14ac:dyDescent="0.4">
      <c r="Q319" s="196"/>
    </row>
    <row r="320" spans="17:17" x14ac:dyDescent="0.4">
      <c r="Q320" s="196"/>
    </row>
    <row r="321" spans="17:17" x14ac:dyDescent="0.4">
      <c r="Q321" s="196"/>
    </row>
    <row r="322" spans="17:17" x14ac:dyDescent="0.4">
      <c r="Q322" s="196"/>
    </row>
    <row r="323" spans="17:17" x14ac:dyDescent="0.4">
      <c r="Q323" s="196"/>
    </row>
    <row r="324" spans="17:17" x14ac:dyDescent="0.4">
      <c r="Q324" s="196"/>
    </row>
    <row r="325" spans="17:17" x14ac:dyDescent="0.4">
      <c r="Q325" s="196"/>
    </row>
    <row r="326" spans="17:17" x14ac:dyDescent="0.4">
      <c r="Q326" s="196"/>
    </row>
    <row r="327" spans="17:17" x14ac:dyDescent="0.4">
      <c r="Q327" s="196"/>
    </row>
    <row r="328" spans="17:17" x14ac:dyDescent="0.4">
      <c r="Q328" s="196"/>
    </row>
    <row r="329" spans="17:17" x14ac:dyDescent="0.4">
      <c r="Q329" s="196"/>
    </row>
    <row r="330" spans="17:17" x14ac:dyDescent="0.4">
      <c r="Q330" s="196"/>
    </row>
    <row r="331" spans="17:17" x14ac:dyDescent="0.4">
      <c r="Q331" s="196"/>
    </row>
    <row r="332" spans="17:17" x14ac:dyDescent="0.4">
      <c r="Q332" s="196"/>
    </row>
    <row r="333" spans="17:17" x14ac:dyDescent="0.4">
      <c r="Q333" s="196"/>
    </row>
    <row r="334" spans="17:17" x14ac:dyDescent="0.4">
      <c r="Q334" s="196"/>
    </row>
    <row r="335" spans="17:17" x14ac:dyDescent="0.4">
      <c r="Q335" s="196"/>
    </row>
    <row r="336" spans="17:17" x14ac:dyDescent="0.4">
      <c r="Q336" s="196"/>
    </row>
    <row r="337" spans="17:17" x14ac:dyDescent="0.4">
      <c r="Q337" s="196"/>
    </row>
    <row r="338" spans="17:17" x14ac:dyDescent="0.4">
      <c r="Q338" s="196"/>
    </row>
    <row r="339" spans="17:17" x14ac:dyDescent="0.4">
      <c r="Q339" s="196"/>
    </row>
    <row r="340" spans="17:17" x14ac:dyDescent="0.4">
      <c r="Q340" s="196"/>
    </row>
    <row r="341" spans="17:17" x14ac:dyDescent="0.4">
      <c r="Q341" s="196"/>
    </row>
    <row r="342" spans="17:17" x14ac:dyDescent="0.4">
      <c r="Q342" s="196"/>
    </row>
    <row r="343" spans="17:17" x14ac:dyDescent="0.4">
      <c r="Q343" s="196"/>
    </row>
    <row r="344" spans="17:17" x14ac:dyDescent="0.4">
      <c r="Q344" s="196"/>
    </row>
    <row r="345" spans="17:17" x14ac:dyDescent="0.4">
      <c r="Q345" s="196"/>
    </row>
    <row r="346" spans="17:17" x14ac:dyDescent="0.4">
      <c r="Q346" s="196"/>
    </row>
    <row r="347" spans="17:17" x14ac:dyDescent="0.4">
      <c r="Q347" s="196"/>
    </row>
    <row r="348" spans="17:17" x14ac:dyDescent="0.4">
      <c r="Q348" s="196"/>
    </row>
    <row r="349" spans="17:17" x14ac:dyDescent="0.4">
      <c r="Q349" s="196"/>
    </row>
    <row r="350" spans="17:17" x14ac:dyDescent="0.4">
      <c r="Q350" s="196"/>
    </row>
    <row r="351" spans="17:17" x14ac:dyDescent="0.4">
      <c r="Q351" s="196"/>
    </row>
    <row r="352" spans="17:17" x14ac:dyDescent="0.4">
      <c r="Q352" s="196"/>
    </row>
    <row r="353" spans="17:17" x14ac:dyDescent="0.4">
      <c r="Q353" s="196"/>
    </row>
    <row r="354" spans="17:17" x14ac:dyDescent="0.4">
      <c r="Q354" s="196"/>
    </row>
    <row r="355" spans="17:17" x14ac:dyDescent="0.4">
      <c r="Q355" s="196"/>
    </row>
    <row r="356" spans="17:17" x14ac:dyDescent="0.4">
      <c r="Q356" s="196"/>
    </row>
    <row r="357" spans="17:17" x14ac:dyDescent="0.4">
      <c r="Q357" s="196"/>
    </row>
    <row r="358" spans="17:17" x14ac:dyDescent="0.4">
      <c r="Q358" s="196"/>
    </row>
    <row r="359" spans="17:17" x14ac:dyDescent="0.4">
      <c r="Q359" s="196"/>
    </row>
    <row r="360" spans="17:17" x14ac:dyDescent="0.4">
      <c r="Q360" s="196"/>
    </row>
    <row r="361" spans="17:17" x14ac:dyDescent="0.4">
      <c r="Q361" s="196"/>
    </row>
    <row r="362" spans="17:17" x14ac:dyDescent="0.4">
      <c r="Q362" s="196"/>
    </row>
    <row r="363" spans="17:17" x14ac:dyDescent="0.4">
      <c r="Q363" s="196"/>
    </row>
    <row r="364" spans="17:17" x14ac:dyDescent="0.4">
      <c r="Q364" s="196"/>
    </row>
    <row r="365" spans="17:17" x14ac:dyDescent="0.4">
      <c r="Q365" s="196"/>
    </row>
    <row r="366" spans="17:17" x14ac:dyDescent="0.4">
      <c r="Q366" s="196"/>
    </row>
    <row r="367" spans="17:17" x14ac:dyDescent="0.4">
      <c r="Q367" s="196"/>
    </row>
    <row r="368" spans="17:17" x14ac:dyDescent="0.4">
      <c r="Q368" s="196"/>
    </row>
    <row r="369" spans="17:17" x14ac:dyDescent="0.4">
      <c r="Q369" s="196"/>
    </row>
    <row r="370" spans="17:17" x14ac:dyDescent="0.4">
      <c r="Q370" s="196"/>
    </row>
    <row r="371" spans="17:17" x14ac:dyDescent="0.4">
      <c r="Q371" s="196"/>
    </row>
    <row r="372" spans="17:17" x14ac:dyDescent="0.4">
      <c r="Q372" s="196"/>
    </row>
    <row r="373" spans="17:17" x14ac:dyDescent="0.4">
      <c r="Q373" s="196"/>
    </row>
    <row r="374" spans="17:17" x14ac:dyDescent="0.4">
      <c r="Q374" s="196"/>
    </row>
    <row r="375" spans="17:17" x14ac:dyDescent="0.4">
      <c r="Q375" s="196"/>
    </row>
    <row r="376" spans="17:17" x14ac:dyDescent="0.4">
      <c r="Q376" s="196"/>
    </row>
    <row r="377" spans="17:17" x14ac:dyDescent="0.4">
      <c r="Q377" s="196"/>
    </row>
    <row r="378" spans="17:17" x14ac:dyDescent="0.4">
      <c r="Q378" s="196"/>
    </row>
    <row r="379" spans="17:17" x14ac:dyDescent="0.4">
      <c r="Q379" s="196"/>
    </row>
    <row r="380" spans="17:17" x14ac:dyDescent="0.4">
      <c r="Q380" s="196"/>
    </row>
    <row r="381" spans="17:17" x14ac:dyDescent="0.4">
      <c r="Q381" s="196"/>
    </row>
    <row r="382" spans="17:17" x14ac:dyDescent="0.4">
      <c r="Q382" s="196"/>
    </row>
    <row r="383" spans="17:17" x14ac:dyDescent="0.4">
      <c r="Q383" s="196"/>
    </row>
    <row r="384" spans="17:17" x14ac:dyDescent="0.4">
      <c r="Q384" s="196"/>
    </row>
    <row r="385" spans="17:17" x14ac:dyDescent="0.4">
      <c r="Q385" s="196"/>
    </row>
    <row r="386" spans="17:17" x14ac:dyDescent="0.4">
      <c r="Q386" s="196"/>
    </row>
    <row r="387" spans="17:17" x14ac:dyDescent="0.4">
      <c r="Q387" s="196"/>
    </row>
    <row r="388" spans="17:17" x14ac:dyDescent="0.4">
      <c r="Q388" s="196"/>
    </row>
    <row r="389" spans="17:17" x14ac:dyDescent="0.4">
      <c r="Q389" s="196"/>
    </row>
    <row r="390" spans="17:17" x14ac:dyDescent="0.4">
      <c r="Q390" s="196"/>
    </row>
    <row r="391" spans="17:17" x14ac:dyDescent="0.4">
      <c r="Q391" s="196"/>
    </row>
    <row r="392" spans="17:17" x14ac:dyDescent="0.4">
      <c r="Q392" s="196"/>
    </row>
    <row r="393" spans="17:17" x14ac:dyDescent="0.4">
      <c r="Q393" s="196"/>
    </row>
    <row r="394" spans="17:17" x14ac:dyDescent="0.4">
      <c r="Q394" s="196"/>
    </row>
    <row r="395" spans="17:17" x14ac:dyDescent="0.4">
      <c r="Q395" s="196"/>
    </row>
    <row r="396" spans="17:17" x14ac:dyDescent="0.4">
      <c r="Q396" s="196"/>
    </row>
    <row r="397" spans="17:17" x14ac:dyDescent="0.4">
      <c r="Q397" s="196"/>
    </row>
    <row r="398" spans="17:17" x14ac:dyDescent="0.4">
      <c r="Q398" s="196"/>
    </row>
    <row r="399" spans="17:17" x14ac:dyDescent="0.4">
      <c r="Q399" s="196"/>
    </row>
    <row r="400" spans="17:17" x14ac:dyDescent="0.4">
      <c r="Q400" s="196"/>
    </row>
    <row r="401" spans="17:17" x14ac:dyDescent="0.4">
      <c r="Q401" s="196"/>
    </row>
    <row r="402" spans="17:17" x14ac:dyDescent="0.4">
      <c r="Q402" s="196"/>
    </row>
    <row r="403" spans="17:17" x14ac:dyDescent="0.4">
      <c r="Q403" s="196"/>
    </row>
    <row r="404" spans="17:17" x14ac:dyDescent="0.4">
      <c r="Q404" s="196"/>
    </row>
    <row r="405" spans="17:17" x14ac:dyDescent="0.4">
      <c r="Q405" s="196"/>
    </row>
    <row r="406" spans="17:17" x14ac:dyDescent="0.4">
      <c r="Q406" s="196"/>
    </row>
    <row r="407" spans="17:17" x14ac:dyDescent="0.4">
      <c r="Q407" s="196"/>
    </row>
    <row r="408" spans="17:17" x14ac:dyDescent="0.4">
      <c r="Q408" s="196"/>
    </row>
    <row r="409" spans="17:17" x14ac:dyDescent="0.4">
      <c r="Q409" s="196"/>
    </row>
    <row r="410" spans="17:17" x14ac:dyDescent="0.4">
      <c r="Q410" s="196"/>
    </row>
    <row r="411" spans="17:17" x14ac:dyDescent="0.4">
      <c r="Q411" s="196"/>
    </row>
    <row r="412" spans="17:17" x14ac:dyDescent="0.4">
      <c r="Q412" s="196"/>
    </row>
    <row r="413" spans="17:17" x14ac:dyDescent="0.4">
      <c r="Q413" s="196"/>
    </row>
    <row r="414" spans="17:17" x14ac:dyDescent="0.4">
      <c r="Q414" s="196"/>
    </row>
    <row r="415" spans="17:17" x14ac:dyDescent="0.4">
      <c r="Q415" s="196"/>
    </row>
    <row r="416" spans="17:17" x14ac:dyDescent="0.4">
      <c r="Q416" s="196"/>
    </row>
    <row r="417" spans="17:17" x14ac:dyDescent="0.4">
      <c r="Q417" s="196"/>
    </row>
    <row r="418" spans="17:17" x14ac:dyDescent="0.4">
      <c r="Q418" s="196"/>
    </row>
    <row r="419" spans="17:17" x14ac:dyDescent="0.4">
      <c r="Q419" s="196"/>
    </row>
    <row r="420" spans="17:17" x14ac:dyDescent="0.4">
      <c r="Q420" s="196"/>
    </row>
    <row r="421" spans="17:17" x14ac:dyDescent="0.4">
      <c r="Q421" s="196"/>
    </row>
    <row r="422" spans="17:17" x14ac:dyDescent="0.4">
      <c r="Q422" s="196"/>
    </row>
    <row r="423" spans="17:17" x14ac:dyDescent="0.4">
      <c r="Q423" s="196"/>
    </row>
    <row r="424" spans="17:17" x14ac:dyDescent="0.4">
      <c r="Q424" s="196"/>
    </row>
    <row r="425" spans="17:17" x14ac:dyDescent="0.4">
      <c r="Q425" s="196"/>
    </row>
    <row r="426" spans="17:17" x14ac:dyDescent="0.4">
      <c r="Q426" s="196"/>
    </row>
    <row r="427" spans="17:17" x14ac:dyDescent="0.4">
      <c r="Q427" s="196"/>
    </row>
    <row r="428" spans="17:17" x14ac:dyDescent="0.4">
      <c r="Q428" s="196"/>
    </row>
    <row r="429" spans="17:17" x14ac:dyDescent="0.4">
      <c r="Q429" s="196"/>
    </row>
    <row r="430" spans="17:17" x14ac:dyDescent="0.4">
      <c r="Q430" s="196"/>
    </row>
    <row r="431" spans="17:17" x14ac:dyDescent="0.4">
      <c r="Q431" s="196"/>
    </row>
    <row r="432" spans="17:17" x14ac:dyDescent="0.4">
      <c r="Q432" s="196"/>
    </row>
    <row r="433" spans="17:17" x14ac:dyDescent="0.4">
      <c r="Q433" s="196"/>
    </row>
    <row r="434" spans="17:17" x14ac:dyDescent="0.4">
      <c r="Q434" s="196"/>
    </row>
    <row r="435" spans="17:17" x14ac:dyDescent="0.4">
      <c r="Q435" s="196"/>
    </row>
    <row r="436" spans="17:17" x14ac:dyDescent="0.4">
      <c r="Q436" s="196"/>
    </row>
    <row r="437" spans="17:17" x14ac:dyDescent="0.4">
      <c r="Q437" s="196"/>
    </row>
    <row r="438" spans="17:17" x14ac:dyDescent="0.4">
      <c r="Q438" s="196"/>
    </row>
    <row r="439" spans="17:17" x14ac:dyDescent="0.4">
      <c r="Q439" s="196"/>
    </row>
    <row r="440" spans="17:17" x14ac:dyDescent="0.4">
      <c r="Q440" s="196"/>
    </row>
    <row r="441" spans="17:17" x14ac:dyDescent="0.4">
      <c r="Q441" s="196"/>
    </row>
    <row r="442" spans="17:17" x14ac:dyDescent="0.4">
      <c r="Q442" s="196"/>
    </row>
    <row r="443" spans="17:17" x14ac:dyDescent="0.4">
      <c r="Q443" s="196"/>
    </row>
    <row r="444" spans="17:17" x14ac:dyDescent="0.4">
      <c r="Q444" s="196"/>
    </row>
    <row r="445" spans="17:17" x14ac:dyDescent="0.4">
      <c r="Q445" s="196"/>
    </row>
    <row r="446" spans="17:17" x14ac:dyDescent="0.4">
      <c r="Q446" s="196"/>
    </row>
    <row r="447" spans="17:17" x14ac:dyDescent="0.4">
      <c r="Q447" s="196"/>
    </row>
    <row r="448" spans="17:17" x14ac:dyDescent="0.4">
      <c r="Q448" s="196"/>
    </row>
    <row r="449" spans="17:17" x14ac:dyDescent="0.4">
      <c r="Q449" s="196"/>
    </row>
    <row r="450" spans="17:17" x14ac:dyDescent="0.4">
      <c r="Q450" s="196"/>
    </row>
    <row r="451" spans="17:17" x14ac:dyDescent="0.4">
      <c r="Q451" s="196"/>
    </row>
    <row r="452" spans="17:17" x14ac:dyDescent="0.4">
      <c r="Q452" s="196"/>
    </row>
    <row r="453" spans="17:17" x14ac:dyDescent="0.4">
      <c r="Q453" s="196"/>
    </row>
    <row r="454" spans="17:17" x14ac:dyDescent="0.4">
      <c r="Q454" s="196"/>
    </row>
    <row r="455" spans="17:17" x14ac:dyDescent="0.4">
      <c r="Q455" s="196"/>
    </row>
    <row r="456" spans="17:17" x14ac:dyDescent="0.4">
      <c r="Q456" s="196"/>
    </row>
    <row r="457" spans="17:17" x14ac:dyDescent="0.4">
      <c r="Q457" s="196"/>
    </row>
    <row r="458" spans="17:17" x14ac:dyDescent="0.4">
      <c r="Q458" s="196"/>
    </row>
    <row r="459" spans="17:17" x14ac:dyDescent="0.4">
      <c r="Q459" s="196"/>
    </row>
    <row r="460" spans="17:17" x14ac:dyDescent="0.4">
      <c r="Q460" s="196"/>
    </row>
    <row r="461" spans="17:17" x14ac:dyDescent="0.4">
      <c r="Q461" s="196"/>
    </row>
    <row r="462" spans="17:17" x14ac:dyDescent="0.4">
      <c r="Q462" s="196"/>
    </row>
    <row r="463" spans="17:17" x14ac:dyDescent="0.4">
      <c r="Q463" s="196"/>
    </row>
    <row r="464" spans="17:17" x14ac:dyDescent="0.4">
      <c r="Q464" s="196"/>
    </row>
    <row r="465" spans="17:17" x14ac:dyDescent="0.4">
      <c r="Q465" s="196"/>
    </row>
    <row r="466" spans="17:17" x14ac:dyDescent="0.4">
      <c r="Q466" s="196"/>
    </row>
    <row r="467" spans="17:17" x14ac:dyDescent="0.4">
      <c r="Q467" s="196"/>
    </row>
    <row r="468" spans="17:17" x14ac:dyDescent="0.4">
      <c r="Q468" s="196"/>
    </row>
    <row r="469" spans="17:17" x14ac:dyDescent="0.4">
      <c r="Q469" s="196"/>
    </row>
    <row r="470" spans="17:17" x14ac:dyDescent="0.4">
      <c r="Q470" s="196"/>
    </row>
    <row r="471" spans="17:17" x14ac:dyDescent="0.4">
      <c r="Q471" s="196"/>
    </row>
    <row r="472" spans="17:17" x14ac:dyDescent="0.4">
      <c r="Q472" s="196"/>
    </row>
    <row r="473" spans="17:17" x14ac:dyDescent="0.4">
      <c r="Q473" s="196"/>
    </row>
    <row r="474" spans="17:17" x14ac:dyDescent="0.4">
      <c r="Q474" s="196"/>
    </row>
    <row r="475" spans="17:17" x14ac:dyDescent="0.4">
      <c r="Q475" s="196"/>
    </row>
    <row r="476" spans="17:17" x14ac:dyDescent="0.4">
      <c r="Q476" s="196"/>
    </row>
    <row r="477" spans="17:17" x14ac:dyDescent="0.4">
      <c r="Q477" s="196"/>
    </row>
    <row r="478" spans="17:17" x14ac:dyDescent="0.4">
      <c r="Q478" s="196"/>
    </row>
    <row r="479" spans="17:17" x14ac:dyDescent="0.4">
      <c r="Q479" s="196"/>
    </row>
    <row r="480" spans="17:17" x14ac:dyDescent="0.4">
      <c r="Q480" s="196"/>
    </row>
    <row r="481" spans="17:17" x14ac:dyDescent="0.4">
      <c r="Q481" s="196"/>
    </row>
    <row r="482" spans="17:17" x14ac:dyDescent="0.4">
      <c r="Q482" s="196"/>
    </row>
    <row r="483" spans="17:17" x14ac:dyDescent="0.4">
      <c r="Q483" s="196"/>
    </row>
    <row r="484" spans="17:17" x14ac:dyDescent="0.4">
      <c r="Q484" s="196"/>
    </row>
    <row r="485" spans="17:17" x14ac:dyDescent="0.4">
      <c r="Q485" s="196"/>
    </row>
    <row r="486" spans="17:17" x14ac:dyDescent="0.4">
      <c r="Q486" s="196"/>
    </row>
    <row r="487" spans="17:17" x14ac:dyDescent="0.4">
      <c r="Q487" s="196"/>
    </row>
    <row r="488" spans="17:17" x14ac:dyDescent="0.4">
      <c r="Q488" s="196"/>
    </row>
    <row r="489" spans="17:17" x14ac:dyDescent="0.4">
      <c r="Q489" s="196"/>
    </row>
    <row r="490" spans="17:17" x14ac:dyDescent="0.4">
      <c r="Q490" s="196"/>
    </row>
    <row r="491" spans="17:17" x14ac:dyDescent="0.4">
      <c r="Q491" s="196"/>
    </row>
    <row r="492" spans="17:17" x14ac:dyDescent="0.4">
      <c r="Q492" s="196"/>
    </row>
    <row r="493" spans="17:17" x14ac:dyDescent="0.4">
      <c r="Q493" s="196"/>
    </row>
    <row r="494" spans="17:17" x14ac:dyDescent="0.4">
      <c r="Q494" s="196"/>
    </row>
    <row r="495" spans="17:17" x14ac:dyDescent="0.4">
      <c r="Q495" s="196"/>
    </row>
    <row r="496" spans="17:17" x14ac:dyDescent="0.4">
      <c r="Q496" s="196"/>
    </row>
    <row r="497" spans="17:17" x14ac:dyDescent="0.4">
      <c r="Q497" s="196"/>
    </row>
    <row r="498" spans="17:17" x14ac:dyDescent="0.4">
      <c r="Q498" s="196"/>
    </row>
    <row r="499" spans="17:17" x14ac:dyDescent="0.4">
      <c r="Q499" s="196"/>
    </row>
    <row r="500" spans="17:17" x14ac:dyDescent="0.4">
      <c r="Q500" s="196"/>
    </row>
    <row r="501" spans="17:17" x14ac:dyDescent="0.4">
      <c r="Q501" s="196"/>
    </row>
    <row r="502" spans="17:17" x14ac:dyDescent="0.4">
      <c r="Q502" s="196"/>
    </row>
    <row r="503" spans="17:17" x14ac:dyDescent="0.4">
      <c r="Q503" s="196"/>
    </row>
    <row r="504" spans="17:17" x14ac:dyDescent="0.4">
      <c r="Q504" s="196"/>
    </row>
    <row r="505" spans="17:17" x14ac:dyDescent="0.4">
      <c r="Q505" s="196"/>
    </row>
    <row r="506" spans="17:17" x14ac:dyDescent="0.4">
      <c r="Q506" s="196"/>
    </row>
    <row r="507" spans="17:17" x14ac:dyDescent="0.4">
      <c r="Q507" s="196"/>
    </row>
    <row r="508" spans="17:17" x14ac:dyDescent="0.4">
      <c r="Q508" s="196"/>
    </row>
    <row r="509" spans="17:17" x14ac:dyDescent="0.4">
      <c r="Q509" s="196"/>
    </row>
    <row r="510" spans="17:17" x14ac:dyDescent="0.4">
      <c r="Q510" s="196"/>
    </row>
    <row r="511" spans="17:17" x14ac:dyDescent="0.4">
      <c r="Q511" s="196"/>
    </row>
    <row r="512" spans="17:17" x14ac:dyDescent="0.4">
      <c r="Q512" s="196"/>
    </row>
    <row r="513" spans="17:17" x14ac:dyDescent="0.4">
      <c r="Q513" s="196"/>
    </row>
    <row r="514" spans="17:17" x14ac:dyDescent="0.4">
      <c r="Q514" s="196"/>
    </row>
    <row r="515" spans="17:17" x14ac:dyDescent="0.4">
      <c r="Q515" s="196"/>
    </row>
    <row r="516" spans="17:17" x14ac:dyDescent="0.4">
      <c r="Q516" s="196"/>
    </row>
    <row r="517" spans="17:17" x14ac:dyDescent="0.4">
      <c r="Q517" s="196"/>
    </row>
    <row r="518" spans="17:17" x14ac:dyDescent="0.4">
      <c r="Q518" s="196"/>
    </row>
    <row r="519" spans="17:17" x14ac:dyDescent="0.4">
      <c r="Q519" s="196"/>
    </row>
    <row r="520" spans="17:17" x14ac:dyDescent="0.4">
      <c r="Q520" s="196"/>
    </row>
    <row r="521" spans="17:17" x14ac:dyDescent="0.4">
      <c r="Q521" s="196"/>
    </row>
    <row r="522" spans="17:17" x14ac:dyDescent="0.4">
      <c r="Q522" s="196"/>
    </row>
    <row r="523" spans="17:17" x14ac:dyDescent="0.4">
      <c r="Q523" s="196"/>
    </row>
    <row r="524" spans="17:17" x14ac:dyDescent="0.4">
      <c r="Q524" s="196"/>
    </row>
    <row r="525" spans="17:17" x14ac:dyDescent="0.4">
      <c r="Q525" s="196"/>
    </row>
    <row r="526" spans="17:17" x14ac:dyDescent="0.4">
      <c r="Q526" s="196"/>
    </row>
    <row r="527" spans="17:17" x14ac:dyDescent="0.4">
      <c r="Q527" s="196"/>
    </row>
    <row r="528" spans="17:17" x14ac:dyDescent="0.4">
      <c r="Q528" s="196"/>
    </row>
    <row r="529" spans="17:17" x14ac:dyDescent="0.4">
      <c r="Q529" s="196"/>
    </row>
    <row r="530" spans="17:17" x14ac:dyDescent="0.4">
      <c r="Q530" s="196"/>
    </row>
    <row r="531" spans="17:17" x14ac:dyDescent="0.4">
      <c r="Q531" s="196"/>
    </row>
    <row r="532" spans="17:17" x14ac:dyDescent="0.4">
      <c r="Q532" s="196"/>
    </row>
    <row r="533" spans="17:17" x14ac:dyDescent="0.4">
      <c r="Q533" s="196"/>
    </row>
    <row r="534" spans="17:17" x14ac:dyDescent="0.4">
      <c r="Q534" s="196"/>
    </row>
    <row r="535" spans="17:17" x14ac:dyDescent="0.4">
      <c r="Q535" s="196"/>
    </row>
    <row r="536" spans="17:17" x14ac:dyDescent="0.4">
      <c r="Q536" s="196"/>
    </row>
    <row r="537" spans="17:17" x14ac:dyDescent="0.4">
      <c r="Q537" s="196"/>
    </row>
    <row r="538" spans="17:17" x14ac:dyDescent="0.4">
      <c r="Q538" s="196"/>
    </row>
    <row r="539" spans="17:17" x14ac:dyDescent="0.4">
      <c r="Q539" s="196"/>
    </row>
    <row r="540" spans="17:17" x14ac:dyDescent="0.4">
      <c r="Q540" s="196"/>
    </row>
    <row r="541" spans="17:17" x14ac:dyDescent="0.4">
      <c r="Q541" s="196"/>
    </row>
    <row r="542" spans="17:17" x14ac:dyDescent="0.4">
      <c r="Q542" s="196"/>
    </row>
    <row r="543" spans="17:17" x14ac:dyDescent="0.4">
      <c r="Q543" s="196"/>
    </row>
    <row r="544" spans="17:17" x14ac:dyDescent="0.4">
      <c r="Q544" s="196"/>
    </row>
    <row r="545" spans="17:17" x14ac:dyDescent="0.4">
      <c r="Q545" s="196"/>
    </row>
    <row r="546" spans="17:17" x14ac:dyDescent="0.4">
      <c r="Q546" s="196"/>
    </row>
    <row r="547" spans="17:17" x14ac:dyDescent="0.4">
      <c r="Q547" s="196"/>
    </row>
    <row r="548" spans="17:17" x14ac:dyDescent="0.4">
      <c r="Q548" s="196"/>
    </row>
    <row r="549" spans="17:17" x14ac:dyDescent="0.4">
      <c r="Q549" s="196"/>
    </row>
    <row r="550" spans="17:17" x14ac:dyDescent="0.4">
      <c r="Q550" s="196"/>
    </row>
    <row r="551" spans="17:17" x14ac:dyDescent="0.4">
      <c r="Q551" s="196"/>
    </row>
    <row r="552" spans="17:17" x14ac:dyDescent="0.4">
      <c r="Q552" s="196"/>
    </row>
    <row r="553" spans="17:17" x14ac:dyDescent="0.4">
      <c r="Q553" s="196"/>
    </row>
    <row r="554" spans="17:17" x14ac:dyDescent="0.4">
      <c r="Q554" s="196"/>
    </row>
    <row r="555" spans="17:17" x14ac:dyDescent="0.4">
      <c r="Q555" s="196"/>
    </row>
    <row r="556" spans="17:17" x14ac:dyDescent="0.4">
      <c r="Q556" s="196"/>
    </row>
    <row r="557" spans="17:17" x14ac:dyDescent="0.4">
      <c r="Q557" s="196"/>
    </row>
    <row r="558" spans="17:17" x14ac:dyDescent="0.4">
      <c r="Q558" s="196"/>
    </row>
    <row r="559" spans="17:17" x14ac:dyDescent="0.4">
      <c r="Q559" s="196"/>
    </row>
    <row r="560" spans="17:17" x14ac:dyDescent="0.4">
      <c r="Q560" s="196"/>
    </row>
    <row r="561" spans="17:17" x14ac:dyDescent="0.4">
      <c r="Q561" s="196"/>
    </row>
    <row r="562" spans="17:17" x14ac:dyDescent="0.4">
      <c r="Q562" s="196"/>
    </row>
    <row r="563" spans="17:17" x14ac:dyDescent="0.4">
      <c r="Q563" s="196"/>
    </row>
    <row r="564" spans="17:17" x14ac:dyDescent="0.4">
      <c r="Q564" s="196"/>
    </row>
    <row r="565" spans="17:17" x14ac:dyDescent="0.4">
      <c r="Q565" s="196"/>
    </row>
    <row r="566" spans="17:17" x14ac:dyDescent="0.4">
      <c r="Q566" s="196"/>
    </row>
    <row r="567" spans="17:17" x14ac:dyDescent="0.4">
      <c r="Q567" s="196"/>
    </row>
    <row r="568" spans="17:17" x14ac:dyDescent="0.4">
      <c r="Q568" s="196"/>
    </row>
    <row r="569" spans="17:17" x14ac:dyDescent="0.4">
      <c r="Q569" s="196"/>
    </row>
    <row r="570" spans="17:17" x14ac:dyDescent="0.4">
      <c r="Q570" s="196"/>
    </row>
    <row r="571" spans="17:17" x14ac:dyDescent="0.4">
      <c r="Q571" s="196"/>
    </row>
    <row r="572" spans="17:17" x14ac:dyDescent="0.4">
      <c r="Q572" s="196"/>
    </row>
    <row r="573" spans="17:17" x14ac:dyDescent="0.4">
      <c r="Q573" s="196"/>
    </row>
    <row r="574" spans="17:17" x14ac:dyDescent="0.4">
      <c r="Q574" s="196"/>
    </row>
    <row r="575" spans="17:17" x14ac:dyDescent="0.4">
      <c r="Q575" s="196"/>
    </row>
    <row r="576" spans="17:17" x14ac:dyDescent="0.4">
      <c r="Q576" s="196"/>
    </row>
    <row r="577" spans="17:17" x14ac:dyDescent="0.4">
      <c r="Q577" s="196"/>
    </row>
    <row r="578" spans="17:17" x14ac:dyDescent="0.4">
      <c r="Q578" s="196"/>
    </row>
    <row r="579" spans="17:17" x14ac:dyDescent="0.4">
      <c r="Q579" s="196"/>
    </row>
    <row r="580" spans="17:17" x14ac:dyDescent="0.4">
      <c r="Q580" s="196"/>
    </row>
    <row r="581" spans="17:17" x14ac:dyDescent="0.4">
      <c r="Q581" s="196"/>
    </row>
    <row r="582" spans="17:17" x14ac:dyDescent="0.4">
      <c r="Q582" s="196"/>
    </row>
    <row r="583" spans="17:17" x14ac:dyDescent="0.4">
      <c r="Q583" s="196"/>
    </row>
    <row r="584" spans="17:17" x14ac:dyDescent="0.4">
      <c r="Q584" s="196"/>
    </row>
    <row r="585" spans="17:17" x14ac:dyDescent="0.4">
      <c r="Q585" s="196"/>
    </row>
    <row r="586" spans="17:17" x14ac:dyDescent="0.4">
      <c r="Q586" s="196"/>
    </row>
    <row r="587" spans="17:17" x14ac:dyDescent="0.4">
      <c r="Q587" s="196"/>
    </row>
    <row r="588" spans="17:17" x14ac:dyDescent="0.4">
      <c r="Q588" s="196"/>
    </row>
    <row r="589" spans="17:17" x14ac:dyDescent="0.4">
      <c r="Q589" s="196"/>
    </row>
    <row r="590" spans="17:17" x14ac:dyDescent="0.4">
      <c r="Q590" s="196"/>
    </row>
    <row r="591" spans="17:17" x14ac:dyDescent="0.4">
      <c r="Q591" s="196"/>
    </row>
    <row r="592" spans="17:17" x14ac:dyDescent="0.4">
      <c r="Q592" s="196"/>
    </row>
    <row r="593" spans="17:17" x14ac:dyDescent="0.4">
      <c r="Q593" s="196"/>
    </row>
    <row r="594" spans="17:17" x14ac:dyDescent="0.4">
      <c r="Q594" s="196"/>
    </row>
    <row r="595" spans="17:17" x14ac:dyDescent="0.4">
      <c r="Q595" s="196"/>
    </row>
    <row r="596" spans="17:17" x14ac:dyDescent="0.4">
      <c r="Q596" s="196"/>
    </row>
    <row r="597" spans="17:17" x14ac:dyDescent="0.4">
      <c r="Q597" s="196"/>
    </row>
    <row r="598" spans="17:17" x14ac:dyDescent="0.4">
      <c r="Q598" s="196"/>
    </row>
    <row r="599" spans="17:17" x14ac:dyDescent="0.4">
      <c r="Q599" s="196"/>
    </row>
    <row r="600" spans="17:17" x14ac:dyDescent="0.4">
      <c r="Q600" s="196"/>
    </row>
    <row r="601" spans="17:17" x14ac:dyDescent="0.4">
      <c r="Q601" s="196"/>
    </row>
    <row r="602" spans="17:17" x14ac:dyDescent="0.4">
      <c r="Q602" s="196"/>
    </row>
    <row r="603" spans="17:17" x14ac:dyDescent="0.4">
      <c r="Q603" s="196"/>
    </row>
    <row r="604" spans="17:17" x14ac:dyDescent="0.4">
      <c r="Q604" s="196"/>
    </row>
    <row r="605" spans="17:17" x14ac:dyDescent="0.4">
      <c r="Q605" s="196"/>
    </row>
    <row r="606" spans="17:17" x14ac:dyDescent="0.4">
      <c r="Q606" s="196"/>
    </row>
    <row r="607" spans="17:17" x14ac:dyDescent="0.4">
      <c r="Q607" s="196"/>
    </row>
    <row r="608" spans="17:17" x14ac:dyDescent="0.4">
      <c r="Q608" s="196"/>
    </row>
    <row r="609" spans="17:17" x14ac:dyDescent="0.4">
      <c r="Q609" s="196"/>
    </row>
    <row r="610" spans="17:17" x14ac:dyDescent="0.4">
      <c r="Q610" s="196"/>
    </row>
    <row r="611" spans="17:17" x14ac:dyDescent="0.4">
      <c r="Q611" s="196"/>
    </row>
    <row r="612" spans="17:17" x14ac:dyDescent="0.4">
      <c r="Q612" s="196"/>
    </row>
    <row r="613" spans="17:17" x14ac:dyDescent="0.4">
      <c r="Q613" s="196"/>
    </row>
    <row r="614" spans="17:17" x14ac:dyDescent="0.4">
      <c r="Q614" s="196"/>
    </row>
    <row r="615" spans="17:17" x14ac:dyDescent="0.4">
      <c r="Q615" s="196"/>
    </row>
    <row r="616" spans="17:17" x14ac:dyDescent="0.4">
      <c r="Q616" s="196"/>
    </row>
    <row r="617" spans="17:17" x14ac:dyDescent="0.4">
      <c r="Q617" s="196"/>
    </row>
    <row r="618" spans="17:17" x14ac:dyDescent="0.4">
      <c r="Q618" s="196"/>
    </row>
    <row r="619" spans="17:17" x14ac:dyDescent="0.4">
      <c r="Q619" s="196"/>
    </row>
    <row r="620" spans="17:17" x14ac:dyDescent="0.4">
      <c r="Q620" s="196"/>
    </row>
    <row r="621" spans="17:17" x14ac:dyDescent="0.4">
      <c r="Q621" s="196"/>
    </row>
    <row r="622" spans="17:17" x14ac:dyDescent="0.4">
      <c r="Q622" s="196"/>
    </row>
    <row r="623" spans="17:17" x14ac:dyDescent="0.4">
      <c r="Q623" s="196"/>
    </row>
    <row r="624" spans="17:17" x14ac:dyDescent="0.4">
      <c r="Q624" s="196"/>
    </row>
    <row r="625" spans="17:17" x14ac:dyDescent="0.4">
      <c r="Q625" s="196"/>
    </row>
    <row r="626" spans="17:17" x14ac:dyDescent="0.4">
      <c r="Q626" s="196"/>
    </row>
    <row r="627" spans="17:17" x14ac:dyDescent="0.4">
      <c r="Q627" s="196"/>
    </row>
    <row r="628" spans="17:17" x14ac:dyDescent="0.4">
      <c r="Q628" s="196"/>
    </row>
    <row r="629" spans="17:17" x14ac:dyDescent="0.4">
      <c r="Q629" s="196"/>
    </row>
    <row r="630" spans="17:17" x14ac:dyDescent="0.4">
      <c r="Q630" s="196"/>
    </row>
    <row r="631" spans="17:17" x14ac:dyDescent="0.4">
      <c r="Q631" s="196"/>
    </row>
    <row r="632" spans="17:17" x14ac:dyDescent="0.4">
      <c r="Q632" s="196"/>
    </row>
    <row r="633" spans="17:17" x14ac:dyDescent="0.4">
      <c r="Q633" s="196"/>
    </row>
    <row r="634" spans="17:17" x14ac:dyDescent="0.4">
      <c r="Q634" s="196"/>
    </row>
    <row r="635" spans="17:17" x14ac:dyDescent="0.4">
      <c r="Q635" s="196"/>
    </row>
    <row r="636" spans="17:17" x14ac:dyDescent="0.4">
      <c r="Q636" s="196"/>
    </row>
    <row r="637" spans="17:17" x14ac:dyDescent="0.4">
      <c r="Q637" s="196"/>
    </row>
    <row r="638" spans="17:17" x14ac:dyDescent="0.4">
      <c r="Q638" s="196"/>
    </row>
    <row r="639" spans="17:17" x14ac:dyDescent="0.4">
      <c r="Q639" s="196"/>
    </row>
    <row r="640" spans="17:17" x14ac:dyDescent="0.4">
      <c r="Q640" s="196"/>
    </row>
    <row r="641" spans="17:17" x14ac:dyDescent="0.4">
      <c r="Q641" s="196"/>
    </row>
    <row r="642" spans="17:17" x14ac:dyDescent="0.4">
      <c r="Q642" s="196"/>
    </row>
    <row r="643" spans="17:17" x14ac:dyDescent="0.4">
      <c r="Q643" s="196"/>
    </row>
    <row r="644" spans="17:17" x14ac:dyDescent="0.4">
      <c r="Q644" s="196"/>
    </row>
    <row r="645" spans="17:17" x14ac:dyDescent="0.4">
      <c r="Q645" s="196"/>
    </row>
    <row r="646" spans="17:17" x14ac:dyDescent="0.4">
      <c r="Q646" s="196"/>
    </row>
    <row r="647" spans="17:17" x14ac:dyDescent="0.4">
      <c r="Q647" s="196"/>
    </row>
    <row r="648" spans="17:17" x14ac:dyDescent="0.4">
      <c r="Q648" s="196"/>
    </row>
    <row r="649" spans="17:17" x14ac:dyDescent="0.4">
      <c r="Q649" s="196"/>
    </row>
    <row r="650" spans="17:17" x14ac:dyDescent="0.4">
      <c r="Q650" s="196"/>
    </row>
    <row r="651" spans="17:17" x14ac:dyDescent="0.4">
      <c r="Q651" s="196"/>
    </row>
    <row r="652" spans="17:17" x14ac:dyDescent="0.4">
      <c r="Q652" s="196"/>
    </row>
    <row r="653" spans="17:17" x14ac:dyDescent="0.4">
      <c r="Q653" s="196"/>
    </row>
    <row r="654" spans="17:17" x14ac:dyDescent="0.4">
      <c r="Q654" s="196"/>
    </row>
    <row r="655" spans="17:17" x14ac:dyDescent="0.4">
      <c r="Q655" s="196"/>
    </row>
    <row r="656" spans="17:17" x14ac:dyDescent="0.4">
      <c r="Q656" s="196"/>
    </row>
    <row r="657" spans="17:17" x14ac:dyDescent="0.4">
      <c r="Q657" s="196"/>
    </row>
    <row r="658" spans="17:17" x14ac:dyDescent="0.4">
      <c r="Q658" s="196"/>
    </row>
    <row r="659" spans="17:17" x14ac:dyDescent="0.4">
      <c r="Q659" s="196"/>
    </row>
    <row r="660" spans="17:17" x14ac:dyDescent="0.4">
      <c r="Q660" s="196"/>
    </row>
    <row r="661" spans="17:17" x14ac:dyDescent="0.4">
      <c r="Q661" s="196"/>
    </row>
    <row r="662" spans="17:17" x14ac:dyDescent="0.4">
      <c r="Q662" s="196"/>
    </row>
    <row r="663" spans="17:17" x14ac:dyDescent="0.4">
      <c r="Q663" s="196"/>
    </row>
    <row r="664" spans="17:17" x14ac:dyDescent="0.4">
      <c r="Q664" s="196"/>
    </row>
    <row r="665" spans="17:17" x14ac:dyDescent="0.4">
      <c r="Q665" s="196"/>
    </row>
    <row r="666" spans="17:17" x14ac:dyDescent="0.4">
      <c r="Q666" s="196"/>
    </row>
    <row r="667" spans="17:17" x14ac:dyDescent="0.4">
      <c r="Q667" s="196"/>
    </row>
    <row r="668" spans="17:17" x14ac:dyDescent="0.4">
      <c r="Q668" s="196"/>
    </row>
    <row r="669" spans="17:17" x14ac:dyDescent="0.4">
      <c r="Q669" s="196"/>
    </row>
    <row r="670" spans="17:17" x14ac:dyDescent="0.4">
      <c r="Q670" s="196"/>
    </row>
    <row r="671" spans="17:17" x14ac:dyDescent="0.4">
      <c r="Q671" s="196"/>
    </row>
    <row r="672" spans="17:17" x14ac:dyDescent="0.4">
      <c r="Q672" s="196"/>
    </row>
    <row r="673" spans="17:17" x14ac:dyDescent="0.4">
      <c r="Q673" s="196"/>
    </row>
    <row r="674" spans="17:17" x14ac:dyDescent="0.4">
      <c r="Q674" s="196"/>
    </row>
    <row r="675" spans="17:17" x14ac:dyDescent="0.4">
      <c r="Q675" s="196"/>
    </row>
    <row r="676" spans="17:17" x14ac:dyDescent="0.4">
      <c r="Q676" s="196"/>
    </row>
    <row r="677" spans="17:17" x14ac:dyDescent="0.4">
      <c r="Q677" s="196"/>
    </row>
    <row r="678" spans="17:17" x14ac:dyDescent="0.4">
      <c r="Q678" s="196"/>
    </row>
    <row r="679" spans="17:17" x14ac:dyDescent="0.4">
      <c r="Q679" s="196"/>
    </row>
    <row r="680" spans="17:17" x14ac:dyDescent="0.4">
      <c r="Q680" s="196"/>
    </row>
    <row r="681" spans="17:17" x14ac:dyDescent="0.4">
      <c r="Q681" s="196"/>
    </row>
    <row r="682" spans="17:17" x14ac:dyDescent="0.4">
      <c r="Q682" s="196"/>
    </row>
    <row r="683" spans="17:17" x14ac:dyDescent="0.4">
      <c r="Q683" s="196"/>
    </row>
    <row r="684" spans="17:17" x14ac:dyDescent="0.4">
      <c r="Q684" s="196"/>
    </row>
    <row r="685" spans="17:17" x14ac:dyDescent="0.4">
      <c r="Q685" s="196"/>
    </row>
    <row r="686" spans="17:17" x14ac:dyDescent="0.4">
      <c r="Q686" s="196"/>
    </row>
    <row r="687" spans="17:17" x14ac:dyDescent="0.4">
      <c r="Q687" s="196"/>
    </row>
    <row r="688" spans="17:17" x14ac:dyDescent="0.4">
      <c r="Q688" s="196"/>
    </row>
    <row r="689" spans="17:17" x14ac:dyDescent="0.4">
      <c r="Q689" s="196"/>
    </row>
    <row r="690" spans="17:17" x14ac:dyDescent="0.4">
      <c r="Q690" s="196"/>
    </row>
    <row r="691" spans="17:17" x14ac:dyDescent="0.4">
      <c r="Q691" s="196"/>
    </row>
    <row r="692" spans="17:17" x14ac:dyDescent="0.4">
      <c r="Q692" s="196"/>
    </row>
    <row r="693" spans="17:17" x14ac:dyDescent="0.4">
      <c r="Q693" s="196"/>
    </row>
    <row r="694" spans="17:17" x14ac:dyDescent="0.4">
      <c r="Q694" s="196"/>
    </row>
    <row r="695" spans="17:17" x14ac:dyDescent="0.4">
      <c r="Q695" s="196"/>
    </row>
    <row r="696" spans="17:17" x14ac:dyDescent="0.4">
      <c r="Q696" s="196"/>
    </row>
    <row r="697" spans="17:17" x14ac:dyDescent="0.4">
      <c r="Q697" s="196"/>
    </row>
    <row r="698" spans="17:17" x14ac:dyDescent="0.4">
      <c r="Q698" s="196"/>
    </row>
    <row r="699" spans="17:17" x14ac:dyDescent="0.4">
      <c r="Q699" s="196"/>
    </row>
    <row r="700" spans="17:17" x14ac:dyDescent="0.4">
      <c r="Q700" s="196"/>
    </row>
    <row r="701" spans="17:17" x14ac:dyDescent="0.4">
      <c r="Q701" s="196"/>
    </row>
    <row r="702" spans="17:17" x14ac:dyDescent="0.4">
      <c r="Q702" s="196"/>
    </row>
    <row r="703" spans="17:17" x14ac:dyDescent="0.4">
      <c r="Q703" s="196"/>
    </row>
    <row r="704" spans="17:17" x14ac:dyDescent="0.4">
      <c r="Q704" s="196"/>
    </row>
    <row r="705" spans="17:17" x14ac:dyDescent="0.4">
      <c r="Q705" s="196"/>
    </row>
    <row r="706" spans="17:17" x14ac:dyDescent="0.4">
      <c r="Q706" s="196"/>
    </row>
    <row r="707" spans="17:17" x14ac:dyDescent="0.4">
      <c r="Q707" s="196"/>
    </row>
    <row r="708" spans="17:17" x14ac:dyDescent="0.4">
      <c r="Q708" s="196"/>
    </row>
    <row r="709" spans="17:17" x14ac:dyDescent="0.4">
      <c r="Q709" s="196"/>
    </row>
    <row r="710" spans="17:17" x14ac:dyDescent="0.4">
      <c r="Q710" s="196"/>
    </row>
    <row r="711" spans="17:17" x14ac:dyDescent="0.4">
      <c r="Q711" s="196"/>
    </row>
    <row r="712" spans="17:17" x14ac:dyDescent="0.4">
      <c r="Q712" s="196"/>
    </row>
    <row r="713" spans="17:17" x14ac:dyDescent="0.4">
      <c r="Q713" s="196"/>
    </row>
    <row r="714" spans="17:17" x14ac:dyDescent="0.4">
      <c r="Q714" s="196"/>
    </row>
    <row r="715" spans="17:17" x14ac:dyDescent="0.4">
      <c r="Q715" s="196"/>
    </row>
    <row r="716" spans="17:17" x14ac:dyDescent="0.4">
      <c r="Q716" s="196"/>
    </row>
    <row r="717" spans="17:17" x14ac:dyDescent="0.4">
      <c r="Q717" s="196"/>
    </row>
    <row r="718" spans="17:17" x14ac:dyDescent="0.4">
      <c r="Q718" s="196"/>
    </row>
    <row r="719" spans="17:17" x14ac:dyDescent="0.4">
      <c r="Q719" s="196"/>
    </row>
    <row r="720" spans="17:17" x14ac:dyDescent="0.4">
      <c r="Q720" s="196"/>
    </row>
    <row r="721" spans="17:17" x14ac:dyDescent="0.4">
      <c r="Q721" s="196"/>
    </row>
    <row r="722" spans="17:17" x14ac:dyDescent="0.4">
      <c r="Q722" s="196"/>
    </row>
    <row r="723" spans="17:17" x14ac:dyDescent="0.4">
      <c r="Q723" s="196"/>
    </row>
    <row r="724" spans="17:17" x14ac:dyDescent="0.4">
      <c r="Q724" s="196"/>
    </row>
    <row r="725" spans="17:17" x14ac:dyDescent="0.4">
      <c r="Q725" s="196"/>
    </row>
    <row r="726" spans="17:17" x14ac:dyDescent="0.4">
      <c r="Q726" s="196"/>
    </row>
    <row r="727" spans="17:17" x14ac:dyDescent="0.4">
      <c r="Q727" s="196"/>
    </row>
    <row r="728" spans="17:17" x14ac:dyDescent="0.4">
      <c r="Q728" s="196"/>
    </row>
    <row r="729" spans="17:17" x14ac:dyDescent="0.4">
      <c r="Q729" s="196"/>
    </row>
    <row r="730" spans="17:17" x14ac:dyDescent="0.4">
      <c r="Q730" s="196"/>
    </row>
    <row r="731" spans="17:17" x14ac:dyDescent="0.4">
      <c r="Q731" s="196"/>
    </row>
    <row r="732" spans="17:17" x14ac:dyDescent="0.4">
      <c r="Q732" s="196"/>
    </row>
    <row r="733" spans="17:17" x14ac:dyDescent="0.4">
      <c r="Q733" s="196"/>
    </row>
    <row r="734" spans="17:17" x14ac:dyDescent="0.4">
      <c r="Q734" s="196"/>
    </row>
    <row r="735" spans="17:17" x14ac:dyDescent="0.4">
      <c r="Q735" s="196"/>
    </row>
    <row r="736" spans="17:17" x14ac:dyDescent="0.4">
      <c r="Q736" s="196"/>
    </row>
    <row r="737" spans="17:17" x14ac:dyDescent="0.4">
      <c r="Q737" s="196"/>
    </row>
    <row r="738" spans="17:17" x14ac:dyDescent="0.4">
      <c r="Q738" s="196"/>
    </row>
    <row r="739" spans="17:17" x14ac:dyDescent="0.4">
      <c r="Q739" s="196"/>
    </row>
    <row r="740" spans="17:17" x14ac:dyDescent="0.4">
      <c r="Q740" s="196"/>
    </row>
    <row r="741" spans="17:17" x14ac:dyDescent="0.4">
      <c r="Q741" s="196"/>
    </row>
    <row r="742" spans="17:17" x14ac:dyDescent="0.4">
      <c r="Q742" s="196"/>
    </row>
    <row r="743" spans="17:17" x14ac:dyDescent="0.4">
      <c r="Q743" s="196"/>
    </row>
    <row r="744" spans="17:17" x14ac:dyDescent="0.4">
      <c r="Q744" s="196"/>
    </row>
    <row r="745" spans="17:17" x14ac:dyDescent="0.4">
      <c r="Q745" s="196"/>
    </row>
    <row r="746" spans="17:17" x14ac:dyDescent="0.4">
      <c r="Q746" s="196"/>
    </row>
    <row r="747" spans="17:17" x14ac:dyDescent="0.4">
      <c r="Q747" s="196"/>
    </row>
    <row r="748" spans="17:17" x14ac:dyDescent="0.4">
      <c r="Q748" s="196"/>
    </row>
    <row r="749" spans="17:17" x14ac:dyDescent="0.4">
      <c r="Q749" s="196"/>
    </row>
    <row r="750" spans="17:17" x14ac:dyDescent="0.4">
      <c r="Q750" s="196"/>
    </row>
    <row r="751" spans="17:17" x14ac:dyDescent="0.4">
      <c r="Q751" s="196"/>
    </row>
    <row r="752" spans="17:17" x14ac:dyDescent="0.4">
      <c r="Q752" s="196"/>
    </row>
    <row r="753" spans="17:17" x14ac:dyDescent="0.4">
      <c r="Q753" s="196"/>
    </row>
    <row r="754" spans="17:17" x14ac:dyDescent="0.4">
      <c r="Q754" s="196"/>
    </row>
    <row r="755" spans="17:17" x14ac:dyDescent="0.4">
      <c r="Q755" s="196"/>
    </row>
    <row r="756" spans="17:17" x14ac:dyDescent="0.4">
      <c r="Q756" s="196"/>
    </row>
    <row r="757" spans="17:17" x14ac:dyDescent="0.4">
      <c r="Q757" s="196"/>
    </row>
    <row r="758" spans="17:17" x14ac:dyDescent="0.4">
      <c r="Q758" s="196"/>
    </row>
    <row r="759" spans="17:17" x14ac:dyDescent="0.4">
      <c r="Q759" s="196"/>
    </row>
    <row r="760" spans="17:17" x14ac:dyDescent="0.4">
      <c r="Q760" s="196"/>
    </row>
    <row r="761" spans="17:17" x14ac:dyDescent="0.4">
      <c r="Q761" s="196"/>
    </row>
    <row r="762" spans="17:17" x14ac:dyDescent="0.4">
      <c r="Q762" s="196"/>
    </row>
    <row r="763" spans="17:17" x14ac:dyDescent="0.4">
      <c r="Q763" s="196"/>
    </row>
    <row r="764" spans="17:17" x14ac:dyDescent="0.4">
      <c r="Q764" s="196"/>
    </row>
    <row r="765" spans="17:17" x14ac:dyDescent="0.4">
      <c r="Q765" s="196"/>
    </row>
    <row r="766" spans="17:17" x14ac:dyDescent="0.4">
      <c r="Q766" s="196"/>
    </row>
    <row r="767" spans="17:17" x14ac:dyDescent="0.4">
      <c r="Q767" s="196"/>
    </row>
    <row r="768" spans="17:17" x14ac:dyDescent="0.4">
      <c r="Q768" s="196"/>
    </row>
    <row r="769" spans="17:17" x14ac:dyDescent="0.4">
      <c r="Q769" s="196"/>
    </row>
    <row r="770" spans="17:17" x14ac:dyDescent="0.4">
      <c r="Q770" s="196"/>
    </row>
    <row r="771" spans="17:17" x14ac:dyDescent="0.4">
      <c r="Q771" s="196"/>
    </row>
    <row r="772" spans="17:17" x14ac:dyDescent="0.4">
      <c r="Q772" s="196"/>
    </row>
    <row r="773" spans="17:17" x14ac:dyDescent="0.4">
      <c r="Q773" s="196"/>
    </row>
    <row r="774" spans="17:17" x14ac:dyDescent="0.4">
      <c r="Q774" s="196"/>
    </row>
    <row r="775" spans="17:17" x14ac:dyDescent="0.4">
      <c r="Q775" s="196"/>
    </row>
    <row r="776" spans="17:17" x14ac:dyDescent="0.4">
      <c r="Q776" s="196"/>
    </row>
    <row r="777" spans="17:17" x14ac:dyDescent="0.4">
      <c r="Q777" s="196"/>
    </row>
    <row r="778" spans="17:17" x14ac:dyDescent="0.4">
      <c r="Q778" s="196"/>
    </row>
    <row r="779" spans="17:17" x14ac:dyDescent="0.4">
      <c r="Q779" s="196"/>
    </row>
    <row r="780" spans="17:17" x14ac:dyDescent="0.4">
      <c r="Q780" s="196"/>
    </row>
    <row r="781" spans="17:17" x14ac:dyDescent="0.4">
      <c r="Q781" s="196"/>
    </row>
    <row r="782" spans="17:17" x14ac:dyDescent="0.4">
      <c r="Q782" s="196"/>
    </row>
    <row r="783" spans="17:17" x14ac:dyDescent="0.4">
      <c r="Q783" s="196"/>
    </row>
    <row r="784" spans="17:17" x14ac:dyDescent="0.4">
      <c r="Q784" s="196"/>
    </row>
    <row r="785" spans="17:17" x14ac:dyDescent="0.4">
      <c r="Q785" s="196"/>
    </row>
    <row r="786" spans="17:17" x14ac:dyDescent="0.4">
      <c r="Q786" s="196"/>
    </row>
    <row r="787" spans="17:17" x14ac:dyDescent="0.4">
      <c r="Q787" s="196"/>
    </row>
    <row r="788" spans="17:17" x14ac:dyDescent="0.4">
      <c r="Q788" s="196"/>
    </row>
    <row r="789" spans="17:17" x14ac:dyDescent="0.4">
      <c r="Q789" s="196"/>
    </row>
    <row r="790" spans="17:17" x14ac:dyDescent="0.4">
      <c r="Q790" s="196"/>
    </row>
    <row r="791" spans="17:17" x14ac:dyDescent="0.4">
      <c r="Q791" s="196"/>
    </row>
    <row r="792" spans="17:17" x14ac:dyDescent="0.4">
      <c r="Q792" s="196"/>
    </row>
    <row r="793" spans="17:17" x14ac:dyDescent="0.4">
      <c r="Q793" s="196"/>
    </row>
    <row r="794" spans="17:17" x14ac:dyDescent="0.4">
      <c r="Q794" s="196"/>
    </row>
    <row r="795" spans="17:17" x14ac:dyDescent="0.4">
      <c r="Q795" s="196"/>
    </row>
    <row r="796" spans="17:17" x14ac:dyDescent="0.4">
      <c r="Q796" s="196"/>
    </row>
    <row r="797" spans="17:17" x14ac:dyDescent="0.4">
      <c r="Q797" s="196"/>
    </row>
    <row r="798" spans="17:17" x14ac:dyDescent="0.4">
      <c r="Q798" s="196"/>
    </row>
    <row r="799" spans="17:17" x14ac:dyDescent="0.4">
      <c r="Q799" s="196"/>
    </row>
    <row r="800" spans="17:17" x14ac:dyDescent="0.4">
      <c r="Q800" s="196"/>
    </row>
    <row r="801" spans="17:17" x14ac:dyDescent="0.4">
      <c r="Q801" s="196"/>
    </row>
    <row r="802" spans="17:17" x14ac:dyDescent="0.4">
      <c r="Q802" s="196"/>
    </row>
    <row r="803" spans="17:17" x14ac:dyDescent="0.4">
      <c r="Q803" s="196"/>
    </row>
    <row r="804" spans="17:17" x14ac:dyDescent="0.4">
      <c r="Q804" s="196"/>
    </row>
    <row r="805" spans="17:17" x14ac:dyDescent="0.4">
      <c r="Q805" s="196"/>
    </row>
    <row r="806" spans="17:17" x14ac:dyDescent="0.4">
      <c r="Q806" s="196"/>
    </row>
    <row r="807" spans="17:17" x14ac:dyDescent="0.4">
      <c r="Q807" s="196"/>
    </row>
    <row r="808" spans="17:17" x14ac:dyDescent="0.4">
      <c r="Q808" s="196"/>
    </row>
    <row r="809" spans="17:17" x14ac:dyDescent="0.4">
      <c r="Q809" s="196"/>
    </row>
    <row r="810" spans="17:17" x14ac:dyDescent="0.4">
      <c r="Q810" s="196"/>
    </row>
    <row r="811" spans="17:17" x14ac:dyDescent="0.4">
      <c r="Q811" s="196"/>
    </row>
    <row r="812" spans="17:17" x14ac:dyDescent="0.4">
      <c r="Q812" s="196"/>
    </row>
    <row r="813" spans="17:17" x14ac:dyDescent="0.4">
      <c r="Q813" s="196"/>
    </row>
    <row r="814" spans="17:17" x14ac:dyDescent="0.4">
      <c r="Q814" s="196"/>
    </row>
    <row r="815" spans="17:17" x14ac:dyDescent="0.4">
      <c r="Q815" s="196"/>
    </row>
    <row r="816" spans="17:17" x14ac:dyDescent="0.4">
      <c r="Q816" s="196"/>
    </row>
    <row r="817" spans="17:17" x14ac:dyDescent="0.4">
      <c r="Q817" s="196"/>
    </row>
    <row r="818" spans="17:17" x14ac:dyDescent="0.4">
      <c r="Q818" s="196"/>
    </row>
    <row r="819" spans="17:17" x14ac:dyDescent="0.4">
      <c r="Q819" s="196"/>
    </row>
    <row r="820" spans="17:17" x14ac:dyDescent="0.4">
      <c r="Q820" s="196"/>
    </row>
    <row r="821" spans="17:17" x14ac:dyDescent="0.4">
      <c r="Q821" s="196"/>
    </row>
    <row r="822" spans="17:17" x14ac:dyDescent="0.4">
      <c r="Q822" s="196"/>
    </row>
    <row r="823" spans="17:17" x14ac:dyDescent="0.4">
      <c r="Q823" s="196"/>
    </row>
    <row r="824" spans="17:17" x14ac:dyDescent="0.4">
      <c r="Q824" s="196"/>
    </row>
    <row r="825" spans="17:17" x14ac:dyDescent="0.4">
      <c r="Q825" s="196"/>
    </row>
    <row r="826" spans="17:17" x14ac:dyDescent="0.4">
      <c r="Q826" s="196"/>
    </row>
    <row r="827" spans="17:17" x14ac:dyDescent="0.4">
      <c r="Q827" s="196"/>
    </row>
    <row r="828" spans="17:17" x14ac:dyDescent="0.4">
      <c r="Q828" s="196"/>
    </row>
    <row r="829" spans="17:17" x14ac:dyDescent="0.4">
      <c r="Q829" s="196"/>
    </row>
    <row r="830" spans="17:17" x14ac:dyDescent="0.4">
      <c r="Q830" s="196"/>
    </row>
    <row r="831" spans="17:17" x14ac:dyDescent="0.4">
      <c r="Q831" s="196"/>
    </row>
    <row r="832" spans="17:17" x14ac:dyDescent="0.4">
      <c r="Q832" s="196"/>
    </row>
    <row r="833" spans="17:17" x14ac:dyDescent="0.4">
      <c r="Q833" s="196"/>
    </row>
    <row r="834" spans="17:17" x14ac:dyDescent="0.4">
      <c r="Q834" s="196"/>
    </row>
    <row r="835" spans="17:17" x14ac:dyDescent="0.4">
      <c r="Q835" s="196"/>
    </row>
    <row r="836" spans="17:17" x14ac:dyDescent="0.4">
      <c r="Q836" s="196"/>
    </row>
    <row r="837" spans="17:17" x14ac:dyDescent="0.4">
      <c r="Q837" s="196"/>
    </row>
    <row r="838" spans="17:17" x14ac:dyDescent="0.4">
      <c r="Q838" s="196"/>
    </row>
    <row r="839" spans="17:17" x14ac:dyDescent="0.4">
      <c r="Q839" s="196"/>
    </row>
    <row r="840" spans="17:17" x14ac:dyDescent="0.4">
      <c r="Q840" s="196"/>
    </row>
    <row r="841" spans="17:17" x14ac:dyDescent="0.4">
      <c r="Q841" s="196"/>
    </row>
    <row r="842" spans="17:17" x14ac:dyDescent="0.4">
      <c r="Q842" s="196"/>
    </row>
    <row r="843" spans="17:17" x14ac:dyDescent="0.4">
      <c r="Q843" s="196"/>
    </row>
    <row r="844" spans="17:17" x14ac:dyDescent="0.4">
      <c r="Q844" s="196"/>
    </row>
    <row r="845" spans="17:17" x14ac:dyDescent="0.4">
      <c r="Q845" s="196"/>
    </row>
    <row r="846" spans="17:17" x14ac:dyDescent="0.4">
      <c r="Q846" s="196"/>
    </row>
    <row r="847" spans="17:17" x14ac:dyDescent="0.4">
      <c r="Q847" s="196"/>
    </row>
    <row r="848" spans="17:17" x14ac:dyDescent="0.4">
      <c r="Q848" s="196"/>
    </row>
    <row r="849" spans="17:17" x14ac:dyDescent="0.4">
      <c r="Q849" s="196"/>
    </row>
    <row r="850" spans="17:17" x14ac:dyDescent="0.4">
      <c r="Q850" s="196"/>
    </row>
    <row r="851" spans="17:17" x14ac:dyDescent="0.4">
      <c r="Q851" s="196"/>
    </row>
    <row r="852" spans="17:17" x14ac:dyDescent="0.4">
      <c r="Q852" s="196"/>
    </row>
    <row r="853" spans="17:17" x14ac:dyDescent="0.4">
      <c r="Q853" s="196"/>
    </row>
    <row r="854" spans="17:17" x14ac:dyDescent="0.4">
      <c r="Q854" s="196"/>
    </row>
    <row r="855" spans="17:17" x14ac:dyDescent="0.4">
      <c r="Q855" s="196"/>
    </row>
    <row r="856" spans="17:17" x14ac:dyDescent="0.4">
      <c r="Q856" s="196"/>
    </row>
    <row r="857" spans="17:17" x14ac:dyDescent="0.4">
      <c r="Q857" s="196"/>
    </row>
    <row r="858" spans="17:17" x14ac:dyDescent="0.4">
      <c r="Q858" s="196"/>
    </row>
    <row r="859" spans="17:17" x14ac:dyDescent="0.4">
      <c r="Q859" s="196"/>
    </row>
    <row r="860" spans="17:17" x14ac:dyDescent="0.4">
      <c r="Q860" s="196"/>
    </row>
    <row r="861" spans="17:17" x14ac:dyDescent="0.4">
      <c r="Q861" s="196"/>
    </row>
    <row r="862" spans="17:17" x14ac:dyDescent="0.4">
      <c r="Q862" s="196"/>
    </row>
    <row r="863" spans="17:17" x14ac:dyDescent="0.4">
      <c r="Q863" s="196"/>
    </row>
    <row r="864" spans="17:17" x14ac:dyDescent="0.4">
      <c r="Q864" s="196"/>
    </row>
    <row r="865" spans="17:17" x14ac:dyDescent="0.4">
      <c r="Q865" s="196"/>
    </row>
    <row r="866" spans="17:17" x14ac:dyDescent="0.4">
      <c r="Q866" s="196"/>
    </row>
    <row r="867" spans="17:17" x14ac:dyDescent="0.4">
      <c r="Q867" s="196"/>
    </row>
    <row r="868" spans="17:17" x14ac:dyDescent="0.4">
      <c r="Q868" s="196"/>
    </row>
    <row r="869" spans="17:17" x14ac:dyDescent="0.4">
      <c r="Q869" s="196"/>
    </row>
    <row r="870" spans="17:17" x14ac:dyDescent="0.4">
      <c r="Q870" s="196"/>
    </row>
    <row r="871" spans="17:17" x14ac:dyDescent="0.4">
      <c r="Q871" s="196"/>
    </row>
    <row r="872" spans="17:17" x14ac:dyDescent="0.4">
      <c r="Q872" s="196"/>
    </row>
    <row r="873" spans="17:17" x14ac:dyDescent="0.4">
      <c r="Q873" s="196"/>
    </row>
    <row r="874" spans="17:17" x14ac:dyDescent="0.4">
      <c r="Q874" s="196"/>
    </row>
    <row r="875" spans="17:17" x14ac:dyDescent="0.4">
      <c r="Q875" s="196"/>
    </row>
    <row r="876" spans="17:17" x14ac:dyDescent="0.4">
      <c r="Q876" s="196"/>
    </row>
    <row r="877" spans="17:17" x14ac:dyDescent="0.4">
      <c r="Q877" s="196"/>
    </row>
    <row r="878" spans="17:17" x14ac:dyDescent="0.4">
      <c r="Q878" s="196"/>
    </row>
    <row r="879" spans="17:17" x14ac:dyDescent="0.4">
      <c r="Q879" s="196"/>
    </row>
    <row r="880" spans="17:17" x14ac:dyDescent="0.4">
      <c r="Q880" s="196"/>
    </row>
    <row r="881" spans="17:17" x14ac:dyDescent="0.4">
      <c r="Q881" s="196"/>
    </row>
    <row r="882" spans="17:17" x14ac:dyDescent="0.4">
      <c r="Q882" s="196"/>
    </row>
    <row r="883" spans="17:17" x14ac:dyDescent="0.4">
      <c r="Q883" s="196"/>
    </row>
    <row r="884" spans="17:17" x14ac:dyDescent="0.4">
      <c r="Q884" s="196"/>
    </row>
    <row r="885" spans="17:17" x14ac:dyDescent="0.4">
      <c r="Q885" s="196"/>
    </row>
    <row r="886" spans="17:17" x14ac:dyDescent="0.4">
      <c r="Q886" s="196"/>
    </row>
    <row r="887" spans="17:17" x14ac:dyDescent="0.4">
      <c r="Q887" s="196"/>
    </row>
    <row r="888" spans="17:17" x14ac:dyDescent="0.4">
      <c r="Q888" s="196"/>
    </row>
    <row r="889" spans="17:17" x14ac:dyDescent="0.4">
      <c r="Q889" s="196"/>
    </row>
    <row r="890" spans="17:17" x14ac:dyDescent="0.4">
      <c r="Q890" s="196"/>
    </row>
    <row r="891" spans="17:17" x14ac:dyDescent="0.4">
      <c r="Q891" s="196"/>
    </row>
    <row r="892" spans="17:17" x14ac:dyDescent="0.4">
      <c r="Q892" s="196"/>
    </row>
    <row r="893" spans="17:17" x14ac:dyDescent="0.4">
      <c r="Q893" s="196"/>
    </row>
    <row r="894" spans="17:17" x14ac:dyDescent="0.4">
      <c r="Q894" s="196"/>
    </row>
    <row r="895" spans="17:17" x14ac:dyDescent="0.4">
      <c r="Q895" s="196"/>
    </row>
    <row r="896" spans="17:17" x14ac:dyDescent="0.4">
      <c r="Q896" s="196"/>
    </row>
    <row r="897" spans="17:17" x14ac:dyDescent="0.4">
      <c r="Q897" s="196"/>
    </row>
    <row r="898" spans="17:17" x14ac:dyDescent="0.4">
      <c r="Q898" s="196"/>
    </row>
    <row r="899" spans="17:17" x14ac:dyDescent="0.4">
      <c r="Q899" s="196"/>
    </row>
    <row r="900" spans="17:17" x14ac:dyDescent="0.4">
      <c r="Q900" s="196"/>
    </row>
    <row r="901" spans="17:17" x14ac:dyDescent="0.4">
      <c r="Q901" s="196"/>
    </row>
    <row r="902" spans="17:17" x14ac:dyDescent="0.4">
      <c r="Q902" s="196"/>
    </row>
    <row r="903" spans="17:17" x14ac:dyDescent="0.4">
      <c r="Q903" s="196"/>
    </row>
    <row r="904" spans="17:17" x14ac:dyDescent="0.4">
      <c r="Q904" s="196"/>
    </row>
    <row r="905" spans="17:17" x14ac:dyDescent="0.4">
      <c r="Q905" s="196"/>
    </row>
    <row r="906" spans="17:17" x14ac:dyDescent="0.4">
      <c r="Q906" s="196"/>
    </row>
    <row r="907" spans="17:17" x14ac:dyDescent="0.4">
      <c r="Q907" s="196"/>
    </row>
    <row r="908" spans="17:17" x14ac:dyDescent="0.4">
      <c r="Q908" s="196"/>
    </row>
    <row r="909" spans="17:17" x14ac:dyDescent="0.4">
      <c r="Q909" s="196"/>
    </row>
    <row r="910" spans="17:17" x14ac:dyDescent="0.4">
      <c r="Q910" s="196"/>
    </row>
    <row r="911" spans="17:17" x14ac:dyDescent="0.4">
      <c r="Q911" s="196"/>
    </row>
    <row r="912" spans="17:17" x14ac:dyDescent="0.4">
      <c r="Q912" s="196"/>
    </row>
    <row r="913" spans="17:17" x14ac:dyDescent="0.4">
      <c r="Q913" s="196"/>
    </row>
    <row r="914" spans="17:17" x14ac:dyDescent="0.4">
      <c r="Q914" s="196"/>
    </row>
    <row r="915" spans="17:17" x14ac:dyDescent="0.4">
      <c r="Q915" s="196"/>
    </row>
    <row r="916" spans="17:17" x14ac:dyDescent="0.4">
      <c r="Q916" s="196"/>
    </row>
    <row r="917" spans="17:17" x14ac:dyDescent="0.4">
      <c r="Q917" s="196"/>
    </row>
    <row r="918" spans="17:17" x14ac:dyDescent="0.4">
      <c r="Q918" s="196"/>
    </row>
    <row r="919" spans="17:17" x14ac:dyDescent="0.4">
      <c r="Q919" s="196"/>
    </row>
    <row r="920" spans="17:17" x14ac:dyDescent="0.4">
      <c r="Q920" s="196"/>
    </row>
    <row r="921" spans="17:17" x14ac:dyDescent="0.4">
      <c r="Q921" s="196"/>
    </row>
    <row r="922" spans="17:17" x14ac:dyDescent="0.4">
      <c r="Q922" s="196"/>
    </row>
    <row r="923" spans="17:17" x14ac:dyDescent="0.4">
      <c r="Q923" s="196"/>
    </row>
    <row r="924" spans="17:17" x14ac:dyDescent="0.4">
      <c r="Q924" s="196"/>
    </row>
    <row r="925" spans="17:17" x14ac:dyDescent="0.4">
      <c r="Q925" s="196"/>
    </row>
    <row r="926" spans="17:17" x14ac:dyDescent="0.4">
      <c r="Q926" s="196"/>
    </row>
    <row r="927" spans="17:17" x14ac:dyDescent="0.4">
      <c r="Q927" s="196"/>
    </row>
    <row r="928" spans="17:17" x14ac:dyDescent="0.4">
      <c r="Q928" s="196"/>
    </row>
    <row r="929" spans="17:17" x14ac:dyDescent="0.4">
      <c r="Q929" s="196"/>
    </row>
    <row r="930" spans="17:17" x14ac:dyDescent="0.4">
      <c r="Q930" s="196"/>
    </row>
    <row r="931" spans="17:17" x14ac:dyDescent="0.4">
      <c r="Q931" s="196"/>
    </row>
    <row r="932" spans="17:17" x14ac:dyDescent="0.4">
      <c r="Q932" s="196"/>
    </row>
    <row r="933" spans="17:17" x14ac:dyDescent="0.4">
      <c r="Q933" s="196"/>
    </row>
    <row r="934" spans="17:17" x14ac:dyDescent="0.4">
      <c r="Q934" s="196"/>
    </row>
    <row r="935" spans="17:17" x14ac:dyDescent="0.4">
      <c r="Q935" s="196"/>
    </row>
    <row r="936" spans="17:17" x14ac:dyDescent="0.4">
      <c r="Q936" s="196"/>
    </row>
    <row r="937" spans="17:17" x14ac:dyDescent="0.4">
      <c r="Q937" s="196"/>
    </row>
    <row r="938" spans="17:17" x14ac:dyDescent="0.4">
      <c r="Q938" s="196"/>
    </row>
    <row r="939" spans="17:17" x14ac:dyDescent="0.4">
      <c r="Q939" s="196"/>
    </row>
    <row r="940" spans="17:17" x14ac:dyDescent="0.4">
      <c r="Q940" s="196"/>
    </row>
    <row r="941" spans="17:17" x14ac:dyDescent="0.4">
      <c r="Q941" s="196"/>
    </row>
    <row r="942" spans="17:17" x14ac:dyDescent="0.4">
      <c r="Q942" s="196"/>
    </row>
    <row r="943" spans="17:17" x14ac:dyDescent="0.4">
      <c r="Q943" s="196"/>
    </row>
    <row r="944" spans="17:17" x14ac:dyDescent="0.4">
      <c r="Q944" s="196"/>
    </row>
    <row r="945" spans="17:17" x14ac:dyDescent="0.4">
      <c r="Q945" s="196"/>
    </row>
    <row r="946" spans="17:17" x14ac:dyDescent="0.4">
      <c r="Q946" s="196"/>
    </row>
    <row r="947" spans="17:17" x14ac:dyDescent="0.4">
      <c r="Q947" s="196"/>
    </row>
    <row r="948" spans="17:17" x14ac:dyDescent="0.4">
      <c r="Q948" s="196"/>
    </row>
    <row r="949" spans="17:17" x14ac:dyDescent="0.4">
      <c r="Q949" s="196"/>
    </row>
    <row r="950" spans="17:17" x14ac:dyDescent="0.4">
      <c r="Q950" s="196"/>
    </row>
    <row r="951" spans="17:17" x14ac:dyDescent="0.4">
      <c r="Q951" s="196"/>
    </row>
    <row r="952" spans="17:17" x14ac:dyDescent="0.4">
      <c r="Q952" s="196"/>
    </row>
    <row r="953" spans="17:17" x14ac:dyDescent="0.4">
      <c r="Q953" s="196"/>
    </row>
    <row r="954" spans="17:17" x14ac:dyDescent="0.4">
      <c r="Q954" s="196"/>
    </row>
    <row r="955" spans="17:17" x14ac:dyDescent="0.4">
      <c r="Q955" s="196"/>
    </row>
    <row r="956" spans="17:17" x14ac:dyDescent="0.4">
      <c r="Q956" s="196"/>
    </row>
    <row r="957" spans="17:17" x14ac:dyDescent="0.4">
      <c r="Q957" s="196"/>
    </row>
    <row r="958" spans="17:17" x14ac:dyDescent="0.4">
      <c r="Q958" s="196"/>
    </row>
    <row r="959" spans="17:17" x14ac:dyDescent="0.4">
      <c r="Q959" s="196"/>
    </row>
    <row r="960" spans="17:17" x14ac:dyDescent="0.4">
      <c r="Q960" s="196"/>
    </row>
    <row r="961" spans="17:17" x14ac:dyDescent="0.4">
      <c r="Q961" s="196"/>
    </row>
    <row r="962" spans="17:17" x14ac:dyDescent="0.4">
      <c r="Q962" s="196"/>
    </row>
    <row r="963" spans="17:17" x14ac:dyDescent="0.4">
      <c r="Q963" s="196"/>
    </row>
    <row r="964" spans="17:17" x14ac:dyDescent="0.4">
      <c r="Q964" s="196"/>
    </row>
    <row r="965" spans="17:17" x14ac:dyDescent="0.4">
      <c r="Q965" s="196"/>
    </row>
    <row r="966" spans="17:17" x14ac:dyDescent="0.4">
      <c r="Q966" s="196"/>
    </row>
    <row r="967" spans="17:17" x14ac:dyDescent="0.4">
      <c r="Q967" s="196"/>
    </row>
    <row r="968" spans="17:17" x14ac:dyDescent="0.4">
      <c r="Q968" s="196"/>
    </row>
    <row r="969" spans="17:17" x14ac:dyDescent="0.4">
      <c r="Q969" s="196"/>
    </row>
    <row r="970" spans="17:17" x14ac:dyDescent="0.4">
      <c r="Q970" s="196"/>
    </row>
    <row r="971" spans="17:17" x14ac:dyDescent="0.4">
      <c r="Q971" s="196"/>
    </row>
    <row r="972" spans="17:17" x14ac:dyDescent="0.4">
      <c r="Q972" s="196"/>
    </row>
    <row r="973" spans="17:17" x14ac:dyDescent="0.4">
      <c r="Q973" s="196"/>
    </row>
    <row r="974" spans="17:17" x14ac:dyDescent="0.4">
      <c r="Q974" s="196"/>
    </row>
    <row r="975" spans="17:17" x14ac:dyDescent="0.4">
      <c r="Q975" s="196"/>
    </row>
    <row r="976" spans="17:17" x14ac:dyDescent="0.4">
      <c r="Q976" s="196"/>
    </row>
    <row r="977" spans="17:17" x14ac:dyDescent="0.4">
      <c r="Q977" s="196"/>
    </row>
    <row r="978" spans="17:17" x14ac:dyDescent="0.4">
      <c r="Q978" s="196"/>
    </row>
    <row r="979" spans="17:17" x14ac:dyDescent="0.4">
      <c r="Q979" s="196"/>
    </row>
    <row r="980" spans="17:17" x14ac:dyDescent="0.4">
      <c r="Q980" s="196"/>
    </row>
    <row r="981" spans="17:17" x14ac:dyDescent="0.4">
      <c r="Q981" s="196"/>
    </row>
    <row r="982" spans="17:17" x14ac:dyDescent="0.4">
      <c r="Q982" s="196"/>
    </row>
    <row r="983" spans="17:17" x14ac:dyDescent="0.4">
      <c r="Q983" s="196"/>
    </row>
    <row r="984" spans="17:17" x14ac:dyDescent="0.4">
      <c r="Q984" s="196"/>
    </row>
    <row r="985" spans="17:17" x14ac:dyDescent="0.4">
      <c r="Q985" s="196"/>
    </row>
    <row r="986" spans="17:17" x14ac:dyDescent="0.4">
      <c r="Q986" s="196"/>
    </row>
    <row r="987" spans="17:17" x14ac:dyDescent="0.4">
      <c r="Q987" s="196"/>
    </row>
    <row r="988" spans="17:17" x14ac:dyDescent="0.4">
      <c r="Q988" s="196"/>
    </row>
    <row r="989" spans="17:17" x14ac:dyDescent="0.4">
      <c r="Q989" s="196"/>
    </row>
    <row r="990" spans="17:17" x14ac:dyDescent="0.4">
      <c r="Q990" s="196"/>
    </row>
    <row r="991" spans="17:17" x14ac:dyDescent="0.4">
      <c r="Q991" s="196"/>
    </row>
    <row r="992" spans="17:17" x14ac:dyDescent="0.4">
      <c r="Q992" s="196"/>
    </row>
    <row r="993" spans="17:17" x14ac:dyDescent="0.4">
      <c r="Q993" s="196"/>
    </row>
    <row r="994" spans="17:17" x14ac:dyDescent="0.4">
      <c r="Q994" s="196"/>
    </row>
    <row r="995" spans="17:17" x14ac:dyDescent="0.4">
      <c r="Q995" s="196"/>
    </row>
    <row r="996" spans="17:17" x14ac:dyDescent="0.4">
      <c r="Q996" s="196"/>
    </row>
    <row r="997" spans="17:17" x14ac:dyDescent="0.4">
      <c r="Q997" s="196"/>
    </row>
    <row r="998" spans="17:17" x14ac:dyDescent="0.4">
      <c r="Q998" s="196"/>
    </row>
    <row r="999" spans="17:17" x14ac:dyDescent="0.4">
      <c r="Q999" s="196"/>
    </row>
    <row r="1000" spans="17:17" x14ac:dyDescent="0.4">
      <c r="Q1000" s="196"/>
    </row>
    <row r="1001" spans="17:17" x14ac:dyDescent="0.4">
      <c r="Q1001" s="196"/>
    </row>
    <row r="1002" spans="17:17" x14ac:dyDescent="0.4">
      <c r="Q1002" s="196"/>
    </row>
    <row r="1003" spans="17:17" x14ac:dyDescent="0.4">
      <c r="Q1003" s="196"/>
    </row>
    <row r="1004" spans="17:17" x14ac:dyDescent="0.4">
      <c r="Q1004" s="196"/>
    </row>
    <row r="1005" spans="17:17" x14ac:dyDescent="0.4">
      <c r="Q1005" s="196"/>
    </row>
    <row r="1006" spans="17:17" x14ac:dyDescent="0.4">
      <c r="Q1006" s="196"/>
    </row>
    <row r="1007" spans="17:17" x14ac:dyDescent="0.4">
      <c r="Q1007" s="196"/>
    </row>
    <row r="1008" spans="17:17" x14ac:dyDescent="0.4">
      <c r="Q1008" s="196"/>
    </row>
    <row r="1009" spans="17:17" x14ac:dyDescent="0.4">
      <c r="Q1009" s="196"/>
    </row>
    <row r="1010" spans="17:17" x14ac:dyDescent="0.4">
      <c r="Q1010" s="196"/>
    </row>
    <row r="1011" spans="17:17" x14ac:dyDescent="0.4">
      <c r="Q1011" s="196"/>
    </row>
    <row r="1012" spans="17:17" x14ac:dyDescent="0.4">
      <c r="Q1012" s="196"/>
    </row>
    <row r="1013" spans="17:17" x14ac:dyDescent="0.4">
      <c r="Q1013" s="196"/>
    </row>
    <row r="1014" spans="17:17" x14ac:dyDescent="0.4">
      <c r="Q1014" s="196"/>
    </row>
    <row r="1015" spans="17:17" x14ac:dyDescent="0.4">
      <c r="Q1015" s="196"/>
    </row>
    <row r="1016" spans="17:17" x14ac:dyDescent="0.4">
      <c r="Q1016" s="196"/>
    </row>
    <row r="1017" spans="17:17" x14ac:dyDescent="0.4">
      <c r="Q1017" s="196"/>
    </row>
    <row r="1018" spans="17:17" x14ac:dyDescent="0.4">
      <c r="Q1018" s="196"/>
    </row>
    <row r="1019" spans="17:17" x14ac:dyDescent="0.4">
      <c r="Q1019" s="196"/>
    </row>
    <row r="1020" spans="17:17" x14ac:dyDescent="0.4">
      <c r="Q1020" s="196"/>
    </row>
    <row r="1021" spans="17:17" x14ac:dyDescent="0.4">
      <c r="Q1021" s="196"/>
    </row>
    <row r="1022" spans="17:17" x14ac:dyDescent="0.4">
      <c r="Q1022" s="196"/>
    </row>
    <row r="1023" spans="17:17" x14ac:dyDescent="0.4">
      <c r="Q1023" s="196"/>
    </row>
    <row r="1024" spans="17:17" x14ac:dyDescent="0.4">
      <c r="Q1024" s="196"/>
    </row>
    <row r="1025" spans="17:17" x14ac:dyDescent="0.4">
      <c r="Q1025" s="196"/>
    </row>
    <row r="1026" spans="17:17" x14ac:dyDescent="0.4">
      <c r="Q1026" s="196"/>
    </row>
    <row r="1027" spans="17:17" x14ac:dyDescent="0.4">
      <c r="Q1027" s="196"/>
    </row>
    <row r="1028" spans="17:17" x14ac:dyDescent="0.4">
      <c r="Q1028" s="196"/>
    </row>
    <row r="1029" spans="17:17" x14ac:dyDescent="0.4">
      <c r="Q1029" s="196"/>
    </row>
    <row r="1030" spans="17:17" x14ac:dyDescent="0.4">
      <c r="Q1030" s="196"/>
    </row>
    <row r="1031" spans="17:17" x14ac:dyDescent="0.4">
      <c r="Q1031" s="196"/>
    </row>
    <row r="1032" spans="17:17" x14ac:dyDescent="0.4">
      <c r="Q1032" s="196"/>
    </row>
    <row r="1033" spans="17:17" x14ac:dyDescent="0.4">
      <c r="Q1033" s="196"/>
    </row>
    <row r="1034" spans="17:17" x14ac:dyDescent="0.4">
      <c r="Q1034" s="196"/>
    </row>
    <row r="1035" spans="17:17" x14ac:dyDescent="0.4">
      <c r="Q1035" s="196"/>
    </row>
    <row r="1036" spans="17:17" x14ac:dyDescent="0.4">
      <c r="Q1036" s="196"/>
    </row>
    <row r="1037" spans="17:17" x14ac:dyDescent="0.4">
      <c r="Q1037" s="196"/>
    </row>
    <row r="1038" spans="17:17" x14ac:dyDescent="0.4">
      <c r="Q1038" s="196"/>
    </row>
    <row r="1039" spans="17:17" x14ac:dyDescent="0.4">
      <c r="Q1039" s="196"/>
    </row>
    <row r="1040" spans="17:17" x14ac:dyDescent="0.4">
      <c r="Q1040" s="196"/>
    </row>
    <row r="1041" spans="17:17" x14ac:dyDescent="0.4">
      <c r="Q1041" s="196"/>
    </row>
    <row r="1042" spans="17:17" x14ac:dyDescent="0.4">
      <c r="Q1042" s="196"/>
    </row>
    <row r="1043" spans="17:17" x14ac:dyDescent="0.4">
      <c r="Q1043" s="196"/>
    </row>
    <row r="1044" spans="17:17" x14ac:dyDescent="0.4">
      <c r="Q1044" s="196"/>
    </row>
    <row r="1045" spans="17:17" x14ac:dyDescent="0.4">
      <c r="Q1045" s="196"/>
    </row>
    <row r="1046" spans="17:17" x14ac:dyDescent="0.4">
      <c r="Q1046" s="196"/>
    </row>
    <row r="1047" spans="17:17" x14ac:dyDescent="0.4">
      <c r="Q1047" s="196"/>
    </row>
    <row r="1048" spans="17:17" x14ac:dyDescent="0.4">
      <c r="Q1048" s="196"/>
    </row>
    <row r="1049" spans="17:17" x14ac:dyDescent="0.4">
      <c r="Q1049" s="196"/>
    </row>
    <row r="1050" spans="17:17" x14ac:dyDescent="0.4">
      <c r="Q1050" s="196"/>
    </row>
    <row r="1051" spans="17:17" x14ac:dyDescent="0.4">
      <c r="Q1051" s="196"/>
    </row>
    <row r="1052" spans="17:17" x14ac:dyDescent="0.4">
      <c r="Q1052" s="196"/>
    </row>
    <row r="1053" spans="17:17" x14ac:dyDescent="0.4">
      <c r="Q1053" s="196"/>
    </row>
    <row r="1054" spans="17:17" x14ac:dyDescent="0.4">
      <c r="Q1054" s="196"/>
    </row>
    <row r="1055" spans="17:17" x14ac:dyDescent="0.4">
      <c r="Q1055" s="196"/>
    </row>
    <row r="1056" spans="17:17" x14ac:dyDescent="0.4">
      <c r="Q1056" s="196"/>
    </row>
    <row r="1057" spans="17:17" x14ac:dyDescent="0.4">
      <c r="Q1057" s="196"/>
    </row>
    <row r="1058" spans="17:17" x14ac:dyDescent="0.4">
      <c r="Q1058" s="196"/>
    </row>
    <row r="1059" spans="17:17" x14ac:dyDescent="0.4">
      <c r="Q1059" s="196"/>
    </row>
    <row r="1060" spans="17:17" x14ac:dyDescent="0.4">
      <c r="Q1060" s="196"/>
    </row>
    <row r="1061" spans="17:17" x14ac:dyDescent="0.4">
      <c r="Q1061" s="196"/>
    </row>
    <row r="1062" spans="17:17" x14ac:dyDescent="0.4">
      <c r="Q1062" s="196"/>
    </row>
    <row r="1063" spans="17:17" x14ac:dyDescent="0.4">
      <c r="Q1063" s="196"/>
    </row>
    <row r="1064" spans="17:17" x14ac:dyDescent="0.4">
      <c r="Q1064" s="196"/>
    </row>
    <row r="1065" spans="17:17" x14ac:dyDescent="0.4">
      <c r="Q1065" s="196"/>
    </row>
    <row r="1066" spans="17:17" x14ac:dyDescent="0.4">
      <c r="Q1066" s="196"/>
    </row>
    <row r="1067" spans="17:17" x14ac:dyDescent="0.4">
      <c r="Q1067" s="196"/>
    </row>
    <row r="1068" spans="17:17" x14ac:dyDescent="0.4">
      <c r="Q1068" s="196"/>
    </row>
    <row r="1069" spans="17:17" x14ac:dyDescent="0.4">
      <c r="Q1069" s="196"/>
    </row>
    <row r="1070" spans="17:17" x14ac:dyDescent="0.4">
      <c r="Q1070" s="196"/>
    </row>
    <row r="1071" spans="17:17" x14ac:dyDescent="0.4">
      <c r="Q1071" s="196"/>
    </row>
    <row r="1072" spans="17:17" x14ac:dyDescent="0.4">
      <c r="Q1072" s="196"/>
    </row>
    <row r="1073" spans="17:17" x14ac:dyDescent="0.4">
      <c r="Q1073" s="196"/>
    </row>
    <row r="1074" spans="17:17" x14ac:dyDescent="0.4">
      <c r="Q1074" s="196"/>
    </row>
    <row r="1075" spans="17:17" x14ac:dyDescent="0.4">
      <c r="Q1075" s="196"/>
    </row>
    <row r="1076" spans="17:17" x14ac:dyDescent="0.4">
      <c r="Q1076" s="196"/>
    </row>
    <row r="1077" spans="17:17" x14ac:dyDescent="0.4">
      <c r="Q1077" s="196"/>
    </row>
    <row r="1078" spans="17:17" x14ac:dyDescent="0.4">
      <c r="Q1078" s="196"/>
    </row>
    <row r="1079" spans="17:17" x14ac:dyDescent="0.4">
      <c r="Q1079" s="196"/>
    </row>
    <row r="1080" spans="17:17" x14ac:dyDescent="0.4">
      <c r="Q1080" s="196"/>
    </row>
    <row r="1081" spans="17:17" x14ac:dyDescent="0.4">
      <c r="Q1081" s="196"/>
    </row>
    <row r="1082" spans="17:17" x14ac:dyDescent="0.4">
      <c r="Q1082" s="196"/>
    </row>
    <row r="1083" spans="17:17" x14ac:dyDescent="0.4">
      <c r="Q1083" s="196"/>
    </row>
    <row r="1084" spans="17:17" x14ac:dyDescent="0.4">
      <c r="Q1084" s="196"/>
    </row>
    <row r="1085" spans="17:17" x14ac:dyDescent="0.4">
      <c r="Q1085" s="196"/>
    </row>
    <row r="1086" spans="17:17" x14ac:dyDescent="0.4">
      <c r="Q1086" s="196"/>
    </row>
    <row r="1087" spans="17:17" x14ac:dyDescent="0.4">
      <c r="Q1087" s="196"/>
    </row>
    <row r="1088" spans="17:17" x14ac:dyDescent="0.4">
      <c r="Q1088" s="196"/>
    </row>
    <row r="1089" spans="17:17" x14ac:dyDescent="0.4">
      <c r="Q1089" s="196"/>
    </row>
    <row r="1090" spans="17:17" x14ac:dyDescent="0.4">
      <c r="Q1090" s="196"/>
    </row>
    <row r="1091" spans="17:17" x14ac:dyDescent="0.4">
      <c r="Q1091" s="196"/>
    </row>
    <row r="1092" spans="17:17" x14ac:dyDescent="0.4">
      <c r="Q1092" s="196"/>
    </row>
    <row r="1093" spans="17:17" x14ac:dyDescent="0.4">
      <c r="Q1093" s="196"/>
    </row>
    <row r="1094" spans="17:17" x14ac:dyDescent="0.4">
      <c r="Q1094" s="196"/>
    </row>
    <row r="1095" spans="17:17" x14ac:dyDescent="0.4">
      <c r="Q1095" s="196"/>
    </row>
    <row r="1096" spans="17:17" x14ac:dyDescent="0.4">
      <c r="Q1096" s="196"/>
    </row>
    <row r="1097" spans="17:17" x14ac:dyDescent="0.4">
      <c r="Q1097" s="196"/>
    </row>
    <row r="1098" spans="17:17" x14ac:dyDescent="0.4">
      <c r="Q1098" s="196"/>
    </row>
    <row r="1099" spans="17:17" x14ac:dyDescent="0.4">
      <c r="Q1099" s="196"/>
    </row>
    <row r="1100" spans="17:17" x14ac:dyDescent="0.4">
      <c r="Q1100" s="196"/>
    </row>
    <row r="1101" spans="17:17" x14ac:dyDescent="0.4">
      <c r="Q1101" s="196"/>
    </row>
    <row r="1102" spans="17:17" x14ac:dyDescent="0.4">
      <c r="Q1102" s="196"/>
    </row>
    <row r="1103" spans="17:17" x14ac:dyDescent="0.4">
      <c r="Q1103" s="196"/>
    </row>
    <row r="1104" spans="17:17" x14ac:dyDescent="0.4">
      <c r="Q1104" s="196"/>
    </row>
    <row r="1105" spans="17:17" x14ac:dyDescent="0.4">
      <c r="Q1105" s="196"/>
    </row>
    <row r="1106" spans="17:17" x14ac:dyDescent="0.4">
      <c r="Q1106" s="196"/>
    </row>
    <row r="1107" spans="17:17" x14ac:dyDescent="0.4">
      <c r="Q1107" s="196"/>
    </row>
    <row r="1108" spans="17:17" x14ac:dyDescent="0.4">
      <c r="Q1108" s="196"/>
    </row>
    <row r="1109" spans="17:17" x14ac:dyDescent="0.4">
      <c r="Q1109" s="196"/>
    </row>
    <row r="1110" spans="17:17" x14ac:dyDescent="0.4">
      <c r="Q1110" s="196"/>
    </row>
    <row r="1111" spans="17:17" x14ac:dyDescent="0.4">
      <c r="Q1111" s="196"/>
    </row>
    <row r="1112" spans="17:17" x14ac:dyDescent="0.4">
      <c r="Q1112" s="196"/>
    </row>
    <row r="1113" spans="17:17" x14ac:dyDescent="0.4">
      <c r="Q1113" s="196"/>
    </row>
    <row r="1114" spans="17:17" x14ac:dyDescent="0.4">
      <c r="Q1114" s="196"/>
    </row>
    <row r="1115" spans="17:17" x14ac:dyDescent="0.4">
      <c r="Q1115" s="196"/>
    </row>
    <row r="1116" spans="17:17" x14ac:dyDescent="0.4">
      <c r="Q1116" s="196"/>
    </row>
    <row r="1117" spans="17:17" x14ac:dyDescent="0.4">
      <c r="Q1117" s="196"/>
    </row>
    <row r="1118" spans="17:17" x14ac:dyDescent="0.4">
      <c r="Q1118" s="196"/>
    </row>
    <row r="1119" spans="17:17" x14ac:dyDescent="0.4">
      <c r="Q1119" s="196"/>
    </row>
    <row r="1120" spans="17:17" x14ac:dyDescent="0.4">
      <c r="Q1120" s="196"/>
    </row>
    <row r="1121" spans="17:17" x14ac:dyDescent="0.4">
      <c r="Q1121" s="196"/>
    </row>
    <row r="1122" spans="17:17" x14ac:dyDescent="0.4">
      <c r="Q1122" s="196"/>
    </row>
    <row r="1123" spans="17:17" x14ac:dyDescent="0.4">
      <c r="Q1123" s="196"/>
    </row>
    <row r="1124" spans="17:17" x14ac:dyDescent="0.4">
      <c r="Q1124" s="196"/>
    </row>
    <row r="1125" spans="17:17" x14ac:dyDescent="0.4">
      <c r="Q1125" s="196"/>
    </row>
    <row r="1126" spans="17:17" x14ac:dyDescent="0.4">
      <c r="Q1126" s="196"/>
    </row>
    <row r="1127" spans="17:17" x14ac:dyDescent="0.4">
      <c r="Q1127" s="196"/>
    </row>
    <row r="1128" spans="17:17" x14ac:dyDescent="0.4">
      <c r="Q1128" s="196"/>
    </row>
    <row r="1129" spans="17:17" x14ac:dyDescent="0.4">
      <c r="Q1129" s="196"/>
    </row>
    <row r="1130" spans="17:17" x14ac:dyDescent="0.4">
      <c r="Q1130" s="196"/>
    </row>
    <row r="1131" spans="17:17" x14ac:dyDescent="0.4">
      <c r="Q1131" s="196"/>
    </row>
    <row r="1132" spans="17:17" x14ac:dyDescent="0.4">
      <c r="Q1132" s="196"/>
    </row>
    <row r="1133" spans="17:17" x14ac:dyDescent="0.4">
      <c r="Q1133" s="196"/>
    </row>
    <row r="1134" spans="17:17" x14ac:dyDescent="0.4">
      <c r="Q1134" s="196"/>
    </row>
    <row r="1135" spans="17:17" x14ac:dyDescent="0.4">
      <c r="Q1135" s="196"/>
    </row>
    <row r="1136" spans="17:17" x14ac:dyDescent="0.4">
      <c r="Q1136" s="196"/>
    </row>
    <row r="1137" spans="17:17" x14ac:dyDescent="0.4">
      <c r="Q1137" s="196"/>
    </row>
    <row r="1138" spans="17:17" x14ac:dyDescent="0.4">
      <c r="Q1138" s="196"/>
    </row>
    <row r="1139" spans="17:17" x14ac:dyDescent="0.4">
      <c r="Q1139" s="196"/>
    </row>
    <row r="1140" spans="17:17" x14ac:dyDescent="0.4">
      <c r="Q1140" s="196"/>
    </row>
    <row r="1141" spans="17:17" x14ac:dyDescent="0.4">
      <c r="Q1141" s="196"/>
    </row>
    <row r="1142" spans="17:17" x14ac:dyDescent="0.4">
      <c r="Q1142" s="196"/>
    </row>
    <row r="1143" spans="17:17" x14ac:dyDescent="0.4">
      <c r="Q1143" s="196"/>
    </row>
    <row r="1144" spans="17:17" x14ac:dyDescent="0.4">
      <c r="Q1144" s="196"/>
    </row>
    <row r="1145" spans="17:17" x14ac:dyDescent="0.4">
      <c r="Q1145" s="196"/>
    </row>
    <row r="1146" spans="17:17" x14ac:dyDescent="0.4">
      <c r="Q1146" s="196"/>
    </row>
    <row r="1147" spans="17:17" x14ac:dyDescent="0.4">
      <c r="Q1147" s="196"/>
    </row>
    <row r="1148" spans="17:17" x14ac:dyDescent="0.4">
      <c r="Q1148" s="196"/>
    </row>
    <row r="1149" spans="17:17" x14ac:dyDescent="0.4">
      <c r="Q1149" s="196"/>
    </row>
    <row r="1150" spans="17:17" x14ac:dyDescent="0.4">
      <c r="Q1150" s="196"/>
    </row>
    <row r="1151" spans="17:17" x14ac:dyDescent="0.4">
      <c r="Q1151" s="196"/>
    </row>
    <row r="1152" spans="17:17" x14ac:dyDescent="0.4">
      <c r="Q1152" s="196"/>
    </row>
    <row r="1153" spans="17:17" x14ac:dyDescent="0.4">
      <c r="Q1153" s="196"/>
    </row>
    <row r="1154" spans="17:17" x14ac:dyDescent="0.4">
      <c r="Q1154" s="196"/>
    </row>
    <row r="1155" spans="17:17" x14ac:dyDescent="0.4">
      <c r="Q1155" s="196"/>
    </row>
    <row r="1156" spans="17:17" x14ac:dyDescent="0.4">
      <c r="Q1156" s="196"/>
    </row>
    <row r="1157" spans="17:17" x14ac:dyDescent="0.4">
      <c r="Q1157" s="196"/>
    </row>
    <row r="1158" spans="17:17" x14ac:dyDescent="0.4">
      <c r="Q1158" s="196"/>
    </row>
    <row r="1159" spans="17:17" x14ac:dyDescent="0.4">
      <c r="Q1159" s="196"/>
    </row>
    <row r="1160" spans="17:17" x14ac:dyDescent="0.4">
      <c r="Q1160" s="196"/>
    </row>
    <row r="1161" spans="17:17" x14ac:dyDescent="0.4">
      <c r="Q1161" s="196"/>
    </row>
    <row r="1162" spans="17:17" x14ac:dyDescent="0.4">
      <c r="Q1162" s="196"/>
    </row>
    <row r="1163" spans="17:17" x14ac:dyDescent="0.4">
      <c r="Q1163" s="196"/>
    </row>
    <row r="1164" spans="17:17" x14ac:dyDescent="0.4">
      <c r="Q1164" s="196"/>
    </row>
    <row r="1165" spans="17:17" x14ac:dyDescent="0.4">
      <c r="Q1165" s="196"/>
    </row>
    <row r="1166" spans="17:17" x14ac:dyDescent="0.4">
      <c r="Q1166" s="196"/>
    </row>
    <row r="1167" spans="17:17" x14ac:dyDescent="0.4">
      <c r="Q1167" s="196"/>
    </row>
    <row r="1168" spans="17:17" x14ac:dyDescent="0.4">
      <c r="Q1168" s="196"/>
    </row>
    <row r="1169" spans="17:17" x14ac:dyDescent="0.4">
      <c r="Q1169" s="196"/>
    </row>
    <row r="1170" spans="17:17" x14ac:dyDescent="0.4">
      <c r="Q1170" s="196"/>
    </row>
    <row r="1171" spans="17:17" x14ac:dyDescent="0.4">
      <c r="Q1171" s="196"/>
    </row>
    <row r="1172" spans="17:17" x14ac:dyDescent="0.4">
      <c r="Q1172" s="196"/>
    </row>
    <row r="1173" spans="17:17" x14ac:dyDescent="0.4">
      <c r="Q1173" s="196"/>
    </row>
    <row r="1174" spans="17:17" x14ac:dyDescent="0.4">
      <c r="Q1174" s="196"/>
    </row>
    <row r="1175" spans="17:17" x14ac:dyDescent="0.4">
      <c r="Q1175" s="196"/>
    </row>
    <row r="1176" spans="17:17" x14ac:dyDescent="0.4">
      <c r="Q1176" s="196"/>
    </row>
    <row r="1177" spans="17:17" x14ac:dyDescent="0.4">
      <c r="Q1177" s="196"/>
    </row>
    <row r="1178" spans="17:17" x14ac:dyDescent="0.4">
      <c r="Q1178" s="196"/>
    </row>
    <row r="1179" spans="17:17" x14ac:dyDescent="0.4">
      <c r="Q1179" s="196"/>
    </row>
    <row r="1180" spans="17:17" x14ac:dyDescent="0.4">
      <c r="Q1180" s="196"/>
    </row>
    <row r="1181" spans="17:17" x14ac:dyDescent="0.4">
      <c r="Q1181" s="196"/>
    </row>
    <row r="1182" spans="17:17" x14ac:dyDescent="0.4">
      <c r="Q1182" s="196"/>
    </row>
    <row r="1183" spans="17:17" x14ac:dyDescent="0.4">
      <c r="Q1183" s="196"/>
    </row>
    <row r="1184" spans="17:17" x14ac:dyDescent="0.4">
      <c r="Q1184" s="196"/>
    </row>
    <row r="1185" spans="17:17" x14ac:dyDescent="0.4">
      <c r="Q1185" s="196"/>
    </row>
    <row r="1186" spans="17:17" x14ac:dyDescent="0.4">
      <c r="Q1186" s="196"/>
    </row>
    <row r="1187" spans="17:17" x14ac:dyDescent="0.4">
      <c r="Q1187" s="196"/>
    </row>
    <row r="1188" spans="17:17" x14ac:dyDescent="0.4">
      <c r="Q1188" s="196"/>
    </row>
    <row r="1189" spans="17:17" x14ac:dyDescent="0.4">
      <c r="Q1189" s="196"/>
    </row>
    <row r="1190" spans="17:17" x14ac:dyDescent="0.4">
      <c r="Q1190" s="196"/>
    </row>
    <row r="1191" spans="17:17" x14ac:dyDescent="0.4">
      <c r="Q1191" s="196"/>
    </row>
    <row r="1192" spans="17:17" x14ac:dyDescent="0.4">
      <c r="Q1192" s="196"/>
    </row>
    <row r="1193" spans="17:17" x14ac:dyDescent="0.4">
      <c r="Q1193" s="196"/>
    </row>
    <row r="1194" spans="17:17" x14ac:dyDescent="0.4">
      <c r="Q1194" s="196"/>
    </row>
    <row r="1195" spans="17:17" x14ac:dyDescent="0.4">
      <c r="Q1195" s="196"/>
    </row>
    <row r="1196" spans="17:17" x14ac:dyDescent="0.4">
      <c r="Q1196" s="196"/>
    </row>
    <row r="1197" spans="17:17" x14ac:dyDescent="0.4">
      <c r="Q1197" s="196"/>
    </row>
    <row r="1198" spans="17:17" x14ac:dyDescent="0.4">
      <c r="Q1198" s="196"/>
    </row>
    <row r="1199" spans="17:17" x14ac:dyDescent="0.4">
      <c r="Q1199" s="196"/>
    </row>
    <row r="1200" spans="17:17" x14ac:dyDescent="0.4">
      <c r="Q1200" s="196"/>
    </row>
    <row r="1201" spans="17:17" x14ac:dyDescent="0.4">
      <c r="Q1201" s="196"/>
    </row>
    <row r="1202" spans="17:17" x14ac:dyDescent="0.4">
      <c r="Q1202" s="196"/>
    </row>
    <row r="1203" spans="17:17" x14ac:dyDescent="0.4">
      <c r="Q1203" s="196"/>
    </row>
    <row r="1204" spans="17:17" x14ac:dyDescent="0.4">
      <c r="Q1204" s="196"/>
    </row>
    <row r="1205" spans="17:17" x14ac:dyDescent="0.4">
      <c r="Q1205" s="196"/>
    </row>
    <row r="1206" spans="17:17" x14ac:dyDescent="0.4">
      <c r="Q1206" s="196"/>
    </row>
    <row r="1207" spans="17:17" x14ac:dyDescent="0.4">
      <c r="Q1207" s="196"/>
    </row>
    <row r="1208" spans="17:17" x14ac:dyDescent="0.4">
      <c r="Q1208" s="196"/>
    </row>
    <row r="1209" spans="17:17" x14ac:dyDescent="0.4">
      <c r="Q1209" s="196"/>
    </row>
    <row r="1210" spans="17:17" x14ac:dyDescent="0.4">
      <c r="Q1210" s="196"/>
    </row>
    <row r="1211" spans="17:17" x14ac:dyDescent="0.4">
      <c r="Q1211" s="196"/>
    </row>
    <row r="1212" spans="17:17" x14ac:dyDescent="0.4">
      <c r="Q1212" s="196"/>
    </row>
    <row r="1213" spans="17:17" x14ac:dyDescent="0.4">
      <c r="Q1213" s="196"/>
    </row>
    <row r="1214" spans="17:17" x14ac:dyDescent="0.4">
      <c r="Q1214" s="196"/>
    </row>
    <row r="1215" spans="17:17" x14ac:dyDescent="0.4">
      <c r="Q1215" s="196"/>
    </row>
    <row r="1216" spans="17:17" x14ac:dyDescent="0.4">
      <c r="Q1216" s="196"/>
    </row>
    <row r="1217" spans="17:17" x14ac:dyDescent="0.4">
      <c r="Q1217" s="196"/>
    </row>
    <row r="1218" spans="17:17" x14ac:dyDescent="0.4">
      <c r="Q1218" s="196"/>
    </row>
    <row r="1219" spans="17:17" x14ac:dyDescent="0.4">
      <c r="Q1219" s="196"/>
    </row>
    <row r="1220" spans="17:17" x14ac:dyDescent="0.4">
      <c r="Q1220" s="196"/>
    </row>
    <row r="1221" spans="17:17" x14ac:dyDescent="0.4">
      <c r="Q1221" s="196"/>
    </row>
    <row r="1222" spans="17:17" x14ac:dyDescent="0.4">
      <c r="Q1222" s="196"/>
    </row>
    <row r="1223" spans="17:17" x14ac:dyDescent="0.4">
      <c r="Q1223" s="196"/>
    </row>
    <row r="1224" spans="17:17" x14ac:dyDescent="0.4">
      <c r="Q1224" s="196"/>
    </row>
    <row r="1225" spans="17:17" x14ac:dyDescent="0.4">
      <c r="Q1225" s="196"/>
    </row>
    <row r="1226" spans="17:17" x14ac:dyDescent="0.4">
      <c r="Q1226" s="196"/>
    </row>
    <row r="1227" spans="17:17" x14ac:dyDescent="0.4">
      <c r="Q1227" s="196"/>
    </row>
    <row r="1228" spans="17:17" x14ac:dyDescent="0.4">
      <c r="Q1228" s="196"/>
    </row>
    <row r="1229" spans="17:17" x14ac:dyDescent="0.4">
      <c r="Q1229" s="196"/>
    </row>
    <row r="1230" spans="17:17" x14ac:dyDescent="0.4">
      <c r="Q1230" s="196"/>
    </row>
    <row r="1231" spans="17:17" x14ac:dyDescent="0.4">
      <c r="Q1231" s="196"/>
    </row>
    <row r="1232" spans="17:17" x14ac:dyDescent="0.4">
      <c r="Q1232" s="196"/>
    </row>
    <row r="1233" spans="17:17" x14ac:dyDescent="0.4">
      <c r="Q1233" s="196"/>
    </row>
    <row r="1234" spans="17:17" x14ac:dyDescent="0.4">
      <c r="Q1234" s="196"/>
    </row>
    <row r="1235" spans="17:17" x14ac:dyDescent="0.4">
      <c r="Q1235" s="196"/>
    </row>
    <row r="1236" spans="17:17" x14ac:dyDescent="0.4">
      <c r="Q1236" s="196"/>
    </row>
    <row r="1237" spans="17:17" x14ac:dyDescent="0.4">
      <c r="Q1237" s="196"/>
    </row>
    <row r="1238" spans="17:17" x14ac:dyDescent="0.4">
      <c r="Q1238" s="196"/>
    </row>
    <row r="1239" spans="17:17" x14ac:dyDescent="0.4">
      <c r="Q1239" s="196"/>
    </row>
    <row r="1240" spans="17:17" x14ac:dyDescent="0.4">
      <c r="Q1240" s="196"/>
    </row>
    <row r="1241" spans="17:17" x14ac:dyDescent="0.4">
      <c r="Q1241" s="196"/>
    </row>
    <row r="1242" spans="17:17" x14ac:dyDescent="0.4">
      <c r="Q1242" s="196"/>
    </row>
    <row r="1243" spans="17:17" x14ac:dyDescent="0.4">
      <c r="Q1243" s="196"/>
    </row>
    <row r="1244" spans="17:17" x14ac:dyDescent="0.4">
      <c r="Q1244" s="196"/>
    </row>
    <row r="1245" spans="17:17" x14ac:dyDescent="0.4">
      <c r="Q1245" s="196"/>
    </row>
    <row r="1246" spans="17:17" x14ac:dyDescent="0.4">
      <c r="Q1246" s="196"/>
    </row>
    <row r="1247" spans="17:17" x14ac:dyDescent="0.4">
      <c r="Q1247" s="196"/>
    </row>
    <row r="1248" spans="17:17" x14ac:dyDescent="0.4">
      <c r="Q1248" s="196"/>
    </row>
    <row r="1249" spans="17:17" x14ac:dyDescent="0.4">
      <c r="Q1249" s="196"/>
    </row>
    <row r="1250" spans="17:17" x14ac:dyDescent="0.4">
      <c r="Q1250" s="196"/>
    </row>
    <row r="1251" spans="17:17" x14ac:dyDescent="0.4">
      <c r="Q1251" s="196"/>
    </row>
    <row r="1252" spans="17:17" x14ac:dyDescent="0.4">
      <c r="Q1252" s="196"/>
    </row>
    <row r="1253" spans="17:17" x14ac:dyDescent="0.4">
      <c r="Q1253" s="196"/>
    </row>
    <row r="1254" spans="17:17" x14ac:dyDescent="0.4">
      <c r="Q1254" s="196"/>
    </row>
    <row r="1255" spans="17:17" x14ac:dyDescent="0.4">
      <c r="Q1255" s="196"/>
    </row>
    <row r="1256" spans="17:17" x14ac:dyDescent="0.4">
      <c r="Q1256" s="196"/>
    </row>
    <row r="1257" spans="17:17" x14ac:dyDescent="0.4">
      <c r="Q1257" s="196"/>
    </row>
    <row r="1258" spans="17:17" x14ac:dyDescent="0.4">
      <c r="Q1258" s="196"/>
    </row>
    <row r="1259" spans="17:17" x14ac:dyDescent="0.4">
      <c r="Q1259" s="196"/>
    </row>
    <row r="1260" spans="17:17" x14ac:dyDescent="0.4">
      <c r="Q1260" s="196"/>
    </row>
    <row r="1261" spans="17:17" x14ac:dyDescent="0.4">
      <c r="Q1261" s="196"/>
    </row>
    <row r="1262" spans="17:17" x14ac:dyDescent="0.4">
      <c r="Q1262" s="196"/>
    </row>
    <row r="1263" spans="17:17" x14ac:dyDescent="0.4">
      <c r="Q1263" s="196"/>
    </row>
    <row r="1264" spans="17:17" x14ac:dyDescent="0.4">
      <c r="Q1264" s="196"/>
    </row>
    <row r="1265" spans="17:17" x14ac:dyDescent="0.4">
      <c r="Q1265" s="196"/>
    </row>
    <row r="1266" spans="17:17" x14ac:dyDescent="0.4">
      <c r="Q1266" s="196"/>
    </row>
    <row r="1267" spans="17:17" x14ac:dyDescent="0.4">
      <c r="Q1267" s="196"/>
    </row>
    <row r="1268" spans="17:17" x14ac:dyDescent="0.4">
      <c r="Q1268" s="196"/>
    </row>
    <row r="1269" spans="17:17" x14ac:dyDescent="0.4">
      <c r="Q1269" s="196"/>
    </row>
    <row r="1270" spans="17:17" x14ac:dyDescent="0.4">
      <c r="Q1270" s="196"/>
    </row>
    <row r="1271" spans="17:17" x14ac:dyDescent="0.4">
      <c r="Q1271" s="196"/>
    </row>
    <row r="1272" spans="17:17" x14ac:dyDescent="0.4">
      <c r="Q1272" s="196"/>
    </row>
    <row r="1273" spans="17:17" x14ac:dyDescent="0.4">
      <c r="Q1273" s="196"/>
    </row>
    <row r="1274" spans="17:17" x14ac:dyDescent="0.4">
      <c r="Q1274" s="196"/>
    </row>
    <row r="1275" spans="17:17" x14ac:dyDescent="0.4">
      <c r="Q1275" s="196"/>
    </row>
    <row r="1276" spans="17:17" x14ac:dyDescent="0.4">
      <c r="Q1276" s="196"/>
    </row>
    <row r="1277" spans="17:17" x14ac:dyDescent="0.4">
      <c r="Q1277" s="196"/>
    </row>
    <row r="1278" spans="17:17" x14ac:dyDescent="0.4">
      <c r="Q1278" s="196"/>
    </row>
    <row r="1279" spans="17:17" x14ac:dyDescent="0.4">
      <c r="Q1279" s="196"/>
    </row>
    <row r="1280" spans="17:17" x14ac:dyDescent="0.4">
      <c r="Q1280" s="196"/>
    </row>
    <row r="1281" spans="17:17" x14ac:dyDescent="0.4">
      <c r="Q1281" s="196"/>
    </row>
    <row r="1282" spans="17:17" x14ac:dyDescent="0.4">
      <c r="Q1282" s="196"/>
    </row>
    <row r="1283" spans="17:17" x14ac:dyDescent="0.4">
      <c r="Q1283" s="196"/>
    </row>
    <row r="1284" spans="17:17" x14ac:dyDescent="0.4">
      <c r="Q1284" s="196"/>
    </row>
    <row r="1285" spans="17:17" x14ac:dyDescent="0.4">
      <c r="Q1285" s="196"/>
    </row>
    <row r="1286" spans="17:17" x14ac:dyDescent="0.4">
      <c r="Q1286" s="196"/>
    </row>
    <row r="1287" spans="17:17" x14ac:dyDescent="0.4">
      <c r="Q1287" s="196"/>
    </row>
    <row r="1288" spans="17:17" x14ac:dyDescent="0.4">
      <c r="Q1288" s="196"/>
    </row>
    <row r="1289" spans="17:17" x14ac:dyDescent="0.4">
      <c r="Q1289" s="196"/>
    </row>
    <row r="1290" spans="17:17" x14ac:dyDescent="0.4">
      <c r="Q1290" s="196"/>
    </row>
    <row r="1291" spans="17:17" x14ac:dyDescent="0.4">
      <c r="Q1291" s="196"/>
    </row>
    <row r="1292" spans="17:17" x14ac:dyDescent="0.4">
      <c r="Q1292" s="196"/>
    </row>
    <row r="1293" spans="17:17" x14ac:dyDescent="0.4">
      <c r="Q1293" s="196"/>
    </row>
    <row r="1294" spans="17:17" x14ac:dyDescent="0.4">
      <c r="Q1294" s="196"/>
    </row>
    <row r="1295" spans="17:17" x14ac:dyDescent="0.4">
      <c r="Q1295" s="196"/>
    </row>
    <row r="1296" spans="17:17" x14ac:dyDescent="0.4">
      <c r="Q1296" s="196"/>
    </row>
    <row r="1297" spans="17:17" x14ac:dyDescent="0.4">
      <c r="Q1297" s="196"/>
    </row>
    <row r="1298" spans="17:17" x14ac:dyDescent="0.4">
      <c r="Q1298" s="196"/>
    </row>
    <row r="1299" spans="17:17" x14ac:dyDescent="0.4">
      <c r="Q1299" s="196"/>
    </row>
    <row r="1300" spans="17:17" x14ac:dyDescent="0.4">
      <c r="Q1300" s="196"/>
    </row>
    <row r="1301" spans="17:17" x14ac:dyDescent="0.4">
      <c r="Q1301" s="196"/>
    </row>
    <row r="1302" spans="17:17" x14ac:dyDescent="0.4">
      <c r="Q1302" s="196"/>
    </row>
    <row r="1303" spans="17:17" x14ac:dyDescent="0.4">
      <c r="Q1303" s="196"/>
    </row>
    <row r="1304" spans="17:17" x14ac:dyDescent="0.4">
      <c r="Q1304" s="196"/>
    </row>
    <row r="1305" spans="17:17" x14ac:dyDescent="0.4">
      <c r="Q1305" s="196"/>
    </row>
    <row r="1306" spans="17:17" x14ac:dyDescent="0.4">
      <c r="Q1306" s="196"/>
    </row>
    <row r="1307" spans="17:17" x14ac:dyDescent="0.4">
      <c r="Q1307" s="196"/>
    </row>
    <row r="1308" spans="17:17" x14ac:dyDescent="0.4">
      <c r="Q1308" s="196"/>
    </row>
    <row r="1309" spans="17:17" x14ac:dyDescent="0.4">
      <c r="Q1309" s="196"/>
    </row>
    <row r="1310" spans="17:17" x14ac:dyDescent="0.4">
      <c r="Q1310" s="196"/>
    </row>
    <row r="1311" spans="17:17" x14ac:dyDescent="0.4">
      <c r="Q1311" s="196"/>
    </row>
    <row r="1312" spans="17:17" x14ac:dyDescent="0.4">
      <c r="Q1312" s="196"/>
    </row>
    <row r="1313" spans="17:17" x14ac:dyDescent="0.4">
      <c r="Q1313" s="196"/>
    </row>
    <row r="1314" spans="17:17" x14ac:dyDescent="0.4">
      <c r="Q1314" s="196"/>
    </row>
    <row r="1315" spans="17:17" x14ac:dyDescent="0.4">
      <c r="Q1315" s="196"/>
    </row>
    <row r="1316" spans="17:17" x14ac:dyDescent="0.4">
      <c r="Q1316" s="196"/>
    </row>
    <row r="1317" spans="17:17" x14ac:dyDescent="0.4">
      <c r="Q1317" s="196"/>
    </row>
    <row r="1318" spans="17:17" x14ac:dyDescent="0.4">
      <c r="Q1318" s="196"/>
    </row>
    <row r="1319" spans="17:17" x14ac:dyDescent="0.4">
      <c r="Q1319" s="196"/>
    </row>
    <row r="1320" spans="17:17" x14ac:dyDescent="0.4">
      <c r="Q1320" s="196"/>
    </row>
    <row r="1321" spans="17:17" x14ac:dyDescent="0.4">
      <c r="Q1321" s="196"/>
    </row>
    <row r="1322" spans="17:17" x14ac:dyDescent="0.4">
      <c r="Q1322" s="196"/>
    </row>
    <row r="1323" spans="17:17" x14ac:dyDescent="0.4">
      <c r="Q1323" s="196"/>
    </row>
    <row r="1324" spans="17:17" x14ac:dyDescent="0.4">
      <c r="Q1324" s="196"/>
    </row>
    <row r="1325" spans="17:17" x14ac:dyDescent="0.4">
      <c r="Q1325" s="196"/>
    </row>
    <row r="1326" spans="17:17" x14ac:dyDescent="0.4">
      <c r="Q1326" s="196"/>
    </row>
    <row r="1327" spans="17:17" x14ac:dyDescent="0.4">
      <c r="Q1327" s="196"/>
    </row>
    <row r="1328" spans="17:17" x14ac:dyDescent="0.4">
      <c r="Q1328" s="196"/>
    </row>
    <row r="1329" spans="17:17" x14ac:dyDescent="0.4">
      <c r="Q1329" s="196"/>
    </row>
    <row r="1330" spans="17:17" x14ac:dyDescent="0.4">
      <c r="Q1330" s="196"/>
    </row>
    <row r="1331" spans="17:17" x14ac:dyDescent="0.4">
      <c r="Q1331" s="196"/>
    </row>
    <row r="1332" spans="17:17" x14ac:dyDescent="0.4">
      <c r="Q1332" s="196"/>
    </row>
    <row r="1333" spans="17:17" x14ac:dyDescent="0.4">
      <c r="Q1333" s="196"/>
    </row>
    <row r="1334" spans="17:17" x14ac:dyDescent="0.4">
      <c r="Q1334" s="196"/>
    </row>
    <row r="1335" spans="17:17" x14ac:dyDescent="0.4">
      <c r="Q1335" s="196"/>
    </row>
    <row r="1336" spans="17:17" x14ac:dyDescent="0.4">
      <c r="Q1336" s="196"/>
    </row>
    <row r="1337" spans="17:17" x14ac:dyDescent="0.4">
      <c r="Q1337" s="196"/>
    </row>
    <row r="1338" spans="17:17" x14ac:dyDescent="0.4">
      <c r="Q1338" s="196"/>
    </row>
    <row r="1339" spans="17:17" x14ac:dyDescent="0.4">
      <c r="Q1339" s="196"/>
    </row>
    <row r="1340" spans="17:17" x14ac:dyDescent="0.4">
      <c r="Q1340" s="196"/>
    </row>
    <row r="1341" spans="17:17" x14ac:dyDescent="0.4">
      <c r="Q1341" s="196"/>
    </row>
    <row r="1342" spans="17:17" x14ac:dyDescent="0.4">
      <c r="Q1342" s="196"/>
    </row>
    <row r="1343" spans="17:17" x14ac:dyDescent="0.4">
      <c r="Q1343" s="196"/>
    </row>
    <row r="1344" spans="17:17" x14ac:dyDescent="0.4">
      <c r="Q1344" s="196"/>
    </row>
    <row r="1345" spans="17:17" x14ac:dyDescent="0.4">
      <c r="Q1345" s="196"/>
    </row>
    <row r="1346" spans="17:17" x14ac:dyDescent="0.4">
      <c r="Q1346" s="196"/>
    </row>
    <row r="1347" spans="17:17" x14ac:dyDescent="0.4">
      <c r="Q1347" s="196"/>
    </row>
    <row r="1348" spans="17:17" x14ac:dyDescent="0.4">
      <c r="Q1348" s="196"/>
    </row>
    <row r="1349" spans="17:17" x14ac:dyDescent="0.4">
      <c r="Q1349" s="196"/>
    </row>
    <row r="1350" spans="17:17" x14ac:dyDescent="0.4">
      <c r="Q1350" s="196"/>
    </row>
    <row r="1351" spans="17:17" x14ac:dyDescent="0.4">
      <c r="Q1351" s="196"/>
    </row>
    <row r="1352" spans="17:17" x14ac:dyDescent="0.4">
      <c r="Q1352" s="196"/>
    </row>
    <row r="1353" spans="17:17" x14ac:dyDescent="0.4">
      <c r="Q1353" s="196"/>
    </row>
    <row r="1354" spans="17:17" x14ac:dyDescent="0.4">
      <c r="Q1354" s="196"/>
    </row>
    <row r="1355" spans="17:17" x14ac:dyDescent="0.4">
      <c r="Q1355" s="196"/>
    </row>
    <row r="1356" spans="17:17" x14ac:dyDescent="0.4">
      <c r="Q1356" s="196"/>
    </row>
    <row r="1357" spans="17:17" x14ac:dyDescent="0.4">
      <c r="Q1357" s="196"/>
    </row>
    <row r="1358" spans="17:17" x14ac:dyDescent="0.4">
      <c r="Q1358" s="196"/>
    </row>
    <row r="1359" spans="17:17" x14ac:dyDescent="0.4">
      <c r="Q1359" s="196"/>
    </row>
    <row r="1360" spans="17:17" x14ac:dyDescent="0.4">
      <c r="Q1360" s="196"/>
    </row>
    <row r="1361" spans="17:17" x14ac:dyDescent="0.4">
      <c r="Q1361" s="196"/>
    </row>
    <row r="1362" spans="17:17" x14ac:dyDescent="0.4">
      <c r="Q1362" s="196"/>
    </row>
    <row r="1363" spans="17:17" x14ac:dyDescent="0.4">
      <c r="Q1363" s="196"/>
    </row>
    <row r="1364" spans="17:17" x14ac:dyDescent="0.4">
      <c r="Q1364" s="196"/>
    </row>
    <row r="1365" spans="17:17" x14ac:dyDescent="0.4">
      <c r="Q1365" s="196"/>
    </row>
    <row r="1366" spans="17:17" x14ac:dyDescent="0.4">
      <c r="Q1366" s="196"/>
    </row>
    <row r="1367" spans="17:17" x14ac:dyDescent="0.4">
      <c r="Q1367" s="196"/>
    </row>
    <row r="1368" spans="17:17" x14ac:dyDescent="0.4">
      <c r="Q1368" s="196"/>
    </row>
    <row r="1369" spans="17:17" x14ac:dyDescent="0.4">
      <c r="Q1369" s="196"/>
    </row>
    <row r="1370" spans="17:17" x14ac:dyDescent="0.4">
      <c r="Q1370" s="196"/>
    </row>
    <row r="1371" spans="17:17" x14ac:dyDescent="0.4">
      <c r="Q1371" s="196"/>
    </row>
    <row r="1372" spans="17:17" x14ac:dyDescent="0.4">
      <c r="Q1372" s="196"/>
    </row>
    <row r="1373" spans="17:17" x14ac:dyDescent="0.4">
      <c r="Q1373" s="196"/>
    </row>
    <row r="1374" spans="17:17" x14ac:dyDescent="0.4">
      <c r="Q1374" s="196"/>
    </row>
    <row r="1375" spans="17:17" x14ac:dyDescent="0.4">
      <c r="Q1375" s="196"/>
    </row>
    <row r="1376" spans="17:17" x14ac:dyDescent="0.4">
      <c r="Q1376" s="196"/>
    </row>
    <row r="1377" spans="17:17" x14ac:dyDescent="0.4">
      <c r="Q1377" s="196"/>
    </row>
    <row r="1378" spans="17:17" x14ac:dyDescent="0.4">
      <c r="Q1378" s="196"/>
    </row>
    <row r="1379" spans="17:17" x14ac:dyDescent="0.4">
      <c r="Q1379" s="196"/>
    </row>
    <row r="1380" spans="17:17" x14ac:dyDescent="0.4">
      <c r="Q1380" s="196"/>
    </row>
    <row r="1381" spans="17:17" x14ac:dyDescent="0.4">
      <c r="Q1381" s="196"/>
    </row>
    <row r="1382" spans="17:17" x14ac:dyDescent="0.4">
      <c r="Q1382" s="196"/>
    </row>
    <row r="1383" spans="17:17" x14ac:dyDescent="0.4">
      <c r="Q1383" s="196"/>
    </row>
    <row r="1384" spans="17:17" x14ac:dyDescent="0.4">
      <c r="Q1384" s="196"/>
    </row>
    <row r="1385" spans="17:17" x14ac:dyDescent="0.4">
      <c r="Q1385" s="196"/>
    </row>
    <row r="1386" spans="17:17" x14ac:dyDescent="0.4">
      <c r="Q1386" s="196"/>
    </row>
    <row r="1387" spans="17:17" x14ac:dyDescent="0.4">
      <c r="Q1387" s="196"/>
    </row>
    <row r="1388" spans="17:17" x14ac:dyDescent="0.4">
      <c r="Q1388" s="196"/>
    </row>
    <row r="1389" spans="17:17" x14ac:dyDescent="0.4">
      <c r="Q1389" s="196"/>
    </row>
    <row r="1390" spans="17:17" x14ac:dyDescent="0.4">
      <c r="Q1390" s="196"/>
    </row>
    <row r="1391" spans="17:17" x14ac:dyDescent="0.4">
      <c r="Q1391" s="196"/>
    </row>
    <row r="1392" spans="17:17" x14ac:dyDescent="0.4">
      <c r="Q1392" s="196"/>
    </row>
    <row r="1393" spans="17:17" x14ac:dyDescent="0.4">
      <c r="Q1393" s="196"/>
    </row>
    <row r="1394" spans="17:17" x14ac:dyDescent="0.4">
      <c r="Q1394" s="196"/>
    </row>
    <row r="1395" spans="17:17" x14ac:dyDescent="0.4">
      <c r="Q1395" s="196"/>
    </row>
    <row r="1396" spans="17:17" x14ac:dyDescent="0.4">
      <c r="Q1396" s="196"/>
    </row>
    <row r="1397" spans="17:17" x14ac:dyDescent="0.4">
      <c r="Q1397" s="196"/>
    </row>
    <row r="1398" spans="17:17" x14ac:dyDescent="0.4">
      <c r="Q1398" s="196"/>
    </row>
    <row r="1399" spans="17:17" x14ac:dyDescent="0.4">
      <c r="Q1399" s="196"/>
    </row>
    <row r="1400" spans="17:17" x14ac:dyDescent="0.4">
      <c r="Q1400" s="196"/>
    </row>
    <row r="1401" spans="17:17" x14ac:dyDescent="0.4">
      <c r="Q1401" s="196"/>
    </row>
    <row r="1402" spans="17:17" x14ac:dyDescent="0.4">
      <c r="Q1402" s="196"/>
    </row>
    <row r="1403" spans="17:17" x14ac:dyDescent="0.4">
      <c r="Q1403" s="196"/>
    </row>
    <row r="1404" spans="17:17" x14ac:dyDescent="0.4">
      <c r="Q1404" s="196"/>
    </row>
    <row r="1405" spans="17:17" x14ac:dyDescent="0.4">
      <c r="Q1405" s="196"/>
    </row>
    <row r="1406" spans="17:17" x14ac:dyDescent="0.4">
      <c r="Q1406" s="196"/>
    </row>
    <row r="1407" spans="17:17" x14ac:dyDescent="0.4">
      <c r="Q1407" s="196"/>
    </row>
    <row r="1408" spans="17:17" x14ac:dyDescent="0.4">
      <c r="Q1408" s="196"/>
    </row>
    <row r="1409" spans="17:17" x14ac:dyDescent="0.4">
      <c r="Q1409" s="196"/>
    </row>
    <row r="1410" spans="17:17" x14ac:dyDescent="0.4">
      <c r="Q1410" s="196"/>
    </row>
    <row r="1411" spans="17:17" x14ac:dyDescent="0.4">
      <c r="Q1411" s="196"/>
    </row>
    <row r="1412" spans="17:17" x14ac:dyDescent="0.4">
      <c r="Q1412" s="196"/>
    </row>
    <row r="1413" spans="17:17" x14ac:dyDescent="0.4">
      <c r="Q1413" s="196"/>
    </row>
    <row r="1414" spans="17:17" x14ac:dyDescent="0.4">
      <c r="Q1414" s="196"/>
    </row>
    <row r="1415" spans="17:17" x14ac:dyDescent="0.4">
      <c r="Q1415" s="196"/>
    </row>
    <row r="1416" spans="17:17" x14ac:dyDescent="0.4">
      <c r="Q1416" s="196"/>
    </row>
    <row r="1417" spans="17:17" x14ac:dyDescent="0.4">
      <c r="Q1417" s="196"/>
    </row>
    <row r="1418" spans="17:17" x14ac:dyDescent="0.4">
      <c r="Q1418" s="196"/>
    </row>
    <row r="1419" spans="17:17" x14ac:dyDescent="0.4">
      <c r="Q1419" s="196"/>
    </row>
    <row r="1420" spans="17:17" x14ac:dyDescent="0.4">
      <c r="Q1420" s="196"/>
    </row>
    <row r="1421" spans="17:17" x14ac:dyDescent="0.4">
      <c r="Q1421" s="196"/>
    </row>
    <row r="1422" spans="17:17" x14ac:dyDescent="0.4">
      <c r="Q1422" s="196"/>
    </row>
    <row r="1423" spans="17:17" x14ac:dyDescent="0.4">
      <c r="Q1423" s="196"/>
    </row>
    <row r="1424" spans="17:17" x14ac:dyDescent="0.4">
      <c r="Q1424" s="196"/>
    </row>
    <row r="1425" spans="17:17" x14ac:dyDescent="0.4">
      <c r="Q1425" s="196"/>
    </row>
    <row r="1426" spans="17:17" x14ac:dyDescent="0.4">
      <c r="Q1426" s="196"/>
    </row>
    <row r="1427" spans="17:17" x14ac:dyDescent="0.4">
      <c r="Q1427" s="196"/>
    </row>
    <row r="1428" spans="17:17" x14ac:dyDescent="0.4">
      <c r="Q1428" s="196"/>
    </row>
    <row r="1429" spans="17:17" x14ac:dyDescent="0.4">
      <c r="Q1429" s="196"/>
    </row>
    <row r="1430" spans="17:17" x14ac:dyDescent="0.4">
      <c r="Q1430" s="196"/>
    </row>
    <row r="1431" spans="17:17" x14ac:dyDescent="0.4">
      <c r="Q1431" s="196"/>
    </row>
    <row r="1432" spans="17:17" x14ac:dyDescent="0.4">
      <c r="Q1432" s="196"/>
    </row>
    <row r="1433" spans="17:17" x14ac:dyDescent="0.4">
      <c r="Q1433" s="196"/>
    </row>
    <row r="1434" spans="17:17" x14ac:dyDescent="0.4">
      <c r="Q1434" s="196"/>
    </row>
    <row r="1435" spans="17:17" x14ac:dyDescent="0.4">
      <c r="Q1435" s="196"/>
    </row>
    <row r="1436" spans="17:17" x14ac:dyDescent="0.4">
      <c r="Q1436" s="196"/>
    </row>
    <row r="1437" spans="17:17" x14ac:dyDescent="0.4">
      <c r="Q1437" s="196"/>
    </row>
    <row r="1438" spans="17:17" x14ac:dyDescent="0.4">
      <c r="Q1438" s="196"/>
    </row>
    <row r="1439" spans="17:17" x14ac:dyDescent="0.4">
      <c r="Q1439" s="196"/>
    </row>
    <row r="1440" spans="17:17" x14ac:dyDescent="0.4">
      <c r="Q1440" s="196"/>
    </row>
    <row r="1441" spans="17:17" x14ac:dyDescent="0.4">
      <c r="Q1441" s="196"/>
    </row>
    <row r="1442" spans="17:17" x14ac:dyDescent="0.4">
      <c r="Q1442" s="196"/>
    </row>
    <row r="1443" spans="17:17" x14ac:dyDescent="0.4">
      <c r="Q1443" s="196"/>
    </row>
    <row r="1444" spans="17:17" x14ac:dyDescent="0.4">
      <c r="Q1444" s="196"/>
    </row>
    <row r="1445" spans="17:17" x14ac:dyDescent="0.4">
      <c r="Q1445" s="196"/>
    </row>
    <row r="1446" spans="17:17" x14ac:dyDescent="0.4">
      <c r="Q1446" s="196"/>
    </row>
    <row r="1447" spans="17:17" x14ac:dyDescent="0.4">
      <c r="Q1447" s="196"/>
    </row>
    <row r="1448" spans="17:17" x14ac:dyDescent="0.4">
      <c r="Q1448" s="196"/>
    </row>
    <row r="1449" spans="17:17" x14ac:dyDescent="0.4">
      <c r="Q1449" s="196"/>
    </row>
    <row r="1450" spans="17:17" x14ac:dyDescent="0.4">
      <c r="Q1450" s="196"/>
    </row>
    <row r="1451" spans="17:17" x14ac:dyDescent="0.4">
      <c r="Q1451" s="196"/>
    </row>
    <row r="1452" spans="17:17" x14ac:dyDescent="0.4">
      <c r="Q1452" s="196"/>
    </row>
    <row r="1453" spans="17:17" x14ac:dyDescent="0.4">
      <c r="Q1453" s="196"/>
    </row>
    <row r="1454" spans="17:17" x14ac:dyDescent="0.4">
      <c r="Q1454" s="196"/>
    </row>
    <row r="1455" spans="17:17" x14ac:dyDescent="0.4">
      <c r="Q1455" s="196"/>
    </row>
    <row r="1456" spans="17:17" x14ac:dyDescent="0.4">
      <c r="Q1456" s="196"/>
    </row>
    <row r="1457" spans="17:17" x14ac:dyDescent="0.4">
      <c r="Q1457" s="196"/>
    </row>
    <row r="1458" spans="17:17" x14ac:dyDescent="0.4">
      <c r="Q1458" s="196"/>
    </row>
    <row r="1459" spans="17:17" x14ac:dyDescent="0.4">
      <c r="Q1459" s="196"/>
    </row>
    <row r="1460" spans="17:17" x14ac:dyDescent="0.4">
      <c r="Q1460" s="196"/>
    </row>
    <row r="1461" spans="17:17" x14ac:dyDescent="0.4">
      <c r="Q1461" s="196"/>
    </row>
    <row r="1462" spans="17:17" x14ac:dyDescent="0.4">
      <c r="Q1462" s="196"/>
    </row>
    <row r="1463" spans="17:17" x14ac:dyDescent="0.4">
      <c r="Q1463" s="196"/>
    </row>
    <row r="1464" spans="17:17" x14ac:dyDescent="0.4">
      <c r="Q1464" s="196"/>
    </row>
    <row r="1465" spans="17:17" x14ac:dyDescent="0.4">
      <c r="Q1465" s="196"/>
    </row>
    <row r="1466" spans="17:17" x14ac:dyDescent="0.4">
      <c r="Q1466" s="196"/>
    </row>
    <row r="1467" spans="17:17" x14ac:dyDescent="0.4">
      <c r="Q1467" s="196"/>
    </row>
    <row r="1468" spans="17:17" x14ac:dyDescent="0.4">
      <c r="Q1468" s="196"/>
    </row>
    <row r="1469" spans="17:17" x14ac:dyDescent="0.4">
      <c r="Q1469" s="196"/>
    </row>
    <row r="1470" spans="17:17" x14ac:dyDescent="0.4">
      <c r="Q1470" s="196"/>
    </row>
    <row r="1471" spans="17:17" x14ac:dyDescent="0.4">
      <c r="Q1471" s="196"/>
    </row>
    <row r="1472" spans="17:17" x14ac:dyDescent="0.4">
      <c r="Q1472" s="196"/>
    </row>
    <row r="1473" spans="17:17" x14ac:dyDescent="0.4">
      <c r="Q1473" s="196"/>
    </row>
    <row r="1474" spans="17:17" x14ac:dyDescent="0.4">
      <c r="Q1474" s="196"/>
    </row>
    <row r="1475" spans="17:17" x14ac:dyDescent="0.4">
      <c r="Q1475" s="196"/>
    </row>
    <row r="1476" spans="17:17" x14ac:dyDescent="0.4">
      <c r="Q1476" s="196"/>
    </row>
    <row r="1477" spans="17:17" x14ac:dyDescent="0.4">
      <c r="Q1477" s="196"/>
    </row>
    <row r="1478" spans="17:17" x14ac:dyDescent="0.4">
      <c r="Q1478" s="196"/>
    </row>
    <row r="1479" spans="17:17" x14ac:dyDescent="0.4">
      <c r="Q1479" s="196"/>
    </row>
    <row r="1480" spans="17:17" x14ac:dyDescent="0.4">
      <c r="Q1480" s="196"/>
    </row>
    <row r="1481" spans="17:17" x14ac:dyDescent="0.4">
      <c r="Q1481" s="196"/>
    </row>
    <row r="1482" spans="17:17" x14ac:dyDescent="0.4">
      <c r="Q1482" s="196"/>
    </row>
    <row r="1483" spans="17:17" x14ac:dyDescent="0.4">
      <c r="Q1483" s="196"/>
    </row>
    <row r="1484" spans="17:17" x14ac:dyDescent="0.4">
      <c r="Q1484" s="196"/>
    </row>
    <row r="1485" spans="17:17" x14ac:dyDescent="0.4">
      <c r="Q1485" s="196"/>
    </row>
    <row r="1486" spans="17:17" x14ac:dyDescent="0.4">
      <c r="Q1486" s="196"/>
    </row>
    <row r="1487" spans="17:17" x14ac:dyDescent="0.4">
      <c r="Q1487" s="196"/>
    </row>
    <row r="1488" spans="17:17" x14ac:dyDescent="0.4">
      <c r="Q1488" s="196"/>
    </row>
    <row r="1489" spans="17:17" x14ac:dyDescent="0.4">
      <c r="Q1489" s="196"/>
    </row>
    <row r="1490" spans="17:17" x14ac:dyDescent="0.4">
      <c r="Q1490" s="196"/>
    </row>
    <row r="1491" spans="17:17" x14ac:dyDescent="0.4">
      <c r="Q1491" s="196"/>
    </row>
    <row r="1492" spans="17:17" x14ac:dyDescent="0.4">
      <c r="Q1492" s="196"/>
    </row>
    <row r="1493" spans="17:17" x14ac:dyDescent="0.4">
      <c r="Q1493" s="196"/>
    </row>
    <row r="1494" spans="17:17" x14ac:dyDescent="0.4">
      <c r="Q1494" s="196"/>
    </row>
    <row r="1495" spans="17:17" x14ac:dyDescent="0.4">
      <c r="Q1495" s="196"/>
    </row>
    <row r="1496" spans="17:17" x14ac:dyDescent="0.4">
      <c r="Q1496" s="196"/>
    </row>
    <row r="1497" spans="17:17" x14ac:dyDescent="0.4">
      <c r="Q1497" s="196"/>
    </row>
    <row r="1498" spans="17:17" x14ac:dyDescent="0.4">
      <c r="Q1498" s="196"/>
    </row>
    <row r="1499" spans="17:17" x14ac:dyDescent="0.4">
      <c r="Q1499" s="196"/>
    </row>
    <row r="1500" spans="17:17" x14ac:dyDescent="0.4">
      <c r="Q1500" s="196"/>
    </row>
    <row r="1501" spans="17:17" x14ac:dyDescent="0.4">
      <c r="Q1501" s="196"/>
    </row>
    <row r="1502" spans="17:17" x14ac:dyDescent="0.4">
      <c r="Q1502" s="196"/>
    </row>
    <row r="1503" spans="17:17" x14ac:dyDescent="0.4">
      <c r="Q1503" s="196"/>
    </row>
    <row r="1504" spans="17:17" x14ac:dyDescent="0.4">
      <c r="Q1504" s="196"/>
    </row>
    <row r="1505" spans="17:17" x14ac:dyDescent="0.4">
      <c r="Q1505" s="196"/>
    </row>
    <row r="1506" spans="17:17" x14ac:dyDescent="0.4">
      <c r="Q1506" s="196"/>
    </row>
    <row r="1507" spans="17:17" x14ac:dyDescent="0.4">
      <c r="Q1507" s="196"/>
    </row>
    <row r="1508" spans="17:17" x14ac:dyDescent="0.4">
      <c r="Q1508" s="196"/>
    </row>
    <row r="1509" spans="17:17" x14ac:dyDescent="0.4">
      <c r="Q1509" s="196"/>
    </row>
    <row r="1510" spans="17:17" x14ac:dyDescent="0.4">
      <c r="Q1510" s="196"/>
    </row>
    <row r="1511" spans="17:17" x14ac:dyDescent="0.4">
      <c r="Q1511" s="196"/>
    </row>
    <row r="1512" spans="17:17" x14ac:dyDescent="0.4">
      <c r="Q1512" s="196"/>
    </row>
    <row r="1513" spans="17:17" x14ac:dyDescent="0.4">
      <c r="Q1513" s="196"/>
    </row>
    <row r="1514" spans="17:17" x14ac:dyDescent="0.4">
      <c r="Q1514" s="196"/>
    </row>
    <row r="1515" spans="17:17" x14ac:dyDescent="0.4">
      <c r="Q1515" s="196"/>
    </row>
    <row r="1516" spans="17:17" x14ac:dyDescent="0.4">
      <c r="Q1516" s="196"/>
    </row>
    <row r="1517" spans="17:17" x14ac:dyDescent="0.4">
      <c r="Q1517" s="196"/>
    </row>
    <row r="1518" spans="17:17" x14ac:dyDescent="0.4">
      <c r="Q1518" s="196"/>
    </row>
    <row r="1519" spans="17:17" x14ac:dyDescent="0.4">
      <c r="Q1519" s="196"/>
    </row>
    <row r="1520" spans="17:17" x14ac:dyDescent="0.4">
      <c r="Q1520" s="196"/>
    </row>
    <row r="1521" spans="17:17" x14ac:dyDescent="0.4">
      <c r="Q1521" s="196"/>
    </row>
    <row r="1522" spans="17:17" x14ac:dyDescent="0.4">
      <c r="Q1522" s="196"/>
    </row>
    <row r="1523" spans="17:17" x14ac:dyDescent="0.4">
      <c r="Q1523" s="196"/>
    </row>
    <row r="1524" spans="17:17" x14ac:dyDescent="0.4">
      <c r="Q1524" s="196"/>
    </row>
    <row r="1525" spans="17:17" x14ac:dyDescent="0.4">
      <c r="Q1525" s="196"/>
    </row>
    <row r="1526" spans="17:17" x14ac:dyDescent="0.4">
      <c r="Q1526" s="196"/>
    </row>
    <row r="1527" spans="17:17" x14ac:dyDescent="0.4">
      <c r="Q1527" s="196"/>
    </row>
    <row r="1528" spans="17:17" x14ac:dyDescent="0.4">
      <c r="Q1528" s="196"/>
    </row>
    <row r="1529" spans="17:17" x14ac:dyDescent="0.4">
      <c r="Q1529" s="196"/>
    </row>
    <row r="1530" spans="17:17" x14ac:dyDescent="0.4">
      <c r="Q1530" s="196"/>
    </row>
    <row r="1531" spans="17:17" x14ac:dyDescent="0.4">
      <c r="Q1531" s="196"/>
    </row>
    <row r="1532" spans="17:17" x14ac:dyDescent="0.4">
      <c r="Q1532" s="196"/>
    </row>
    <row r="1533" spans="17:17" x14ac:dyDescent="0.4">
      <c r="Q1533" s="196"/>
    </row>
    <row r="1534" spans="17:17" x14ac:dyDescent="0.4">
      <c r="Q1534" s="196"/>
    </row>
    <row r="1535" spans="17:17" x14ac:dyDescent="0.4">
      <c r="Q1535" s="196"/>
    </row>
    <row r="1536" spans="17:17" x14ac:dyDescent="0.4">
      <c r="Q1536" s="196"/>
    </row>
    <row r="1537" spans="17:17" x14ac:dyDescent="0.4">
      <c r="Q1537" s="196"/>
    </row>
    <row r="1538" spans="17:17" x14ac:dyDescent="0.4">
      <c r="Q1538" s="196"/>
    </row>
    <row r="1539" spans="17:17" x14ac:dyDescent="0.4">
      <c r="Q1539" s="196"/>
    </row>
    <row r="1540" spans="17:17" x14ac:dyDescent="0.4">
      <c r="Q1540" s="196"/>
    </row>
    <row r="1541" spans="17:17" x14ac:dyDescent="0.4">
      <c r="Q1541" s="196"/>
    </row>
    <row r="1542" spans="17:17" x14ac:dyDescent="0.4">
      <c r="Q1542" s="196"/>
    </row>
    <row r="1543" spans="17:17" x14ac:dyDescent="0.4">
      <c r="Q1543" s="196"/>
    </row>
    <row r="1544" spans="17:17" x14ac:dyDescent="0.4">
      <c r="Q1544" s="196"/>
    </row>
    <row r="1545" spans="17:17" x14ac:dyDescent="0.4">
      <c r="Q1545" s="196"/>
    </row>
    <row r="1546" spans="17:17" x14ac:dyDescent="0.4">
      <c r="Q1546" s="196"/>
    </row>
    <row r="1547" spans="17:17" x14ac:dyDescent="0.4">
      <c r="Q1547" s="196"/>
    </row>
    <row r="1548" spans="17:17" x14ac:dyDescent="0.4">
      <c r="Q1548" s="196"/>
    </row>
    <row r="1549" spans="17:17" x14ac:dyDescent="0.4">
      <c r="Q1549" s="196"/>
    </row>
    <row r="1550" spans="17:17" x14ac:dyDescent="0.4">
      <c r="Q1550" s="196"/>
    </row>
    <row r="1551" spans="17:17" x14ac:dyDescent="0.4">
      <c r="Q1551" s="196"/>
    </row>
    <row r="1552" spans="17:17" x14ac:dyDescent="0.4">
      <c r="Q1552" s="196"/>
    </row>
    <row r="1553" spans="17:17" x14ac:dyDescent="0.4">
      <c r="Q1553" s="196"/>
    </row>
    <row r="1554" spans="17:17" x14ac:dyDescent="0.4">
      <c r="Q1554" s="196"/>
    </row>
    <row r="1555" spans="17:17" x14ac:dyDescent="0.4">
      <c r="Q1555" s="196"/>
    </row>
    <row r="1556" spans="17:17" x14ac:dyDescent="0.4">
      <c r="Q1556" s="196"/>
    </row>
    <row r="1557" spans="17:17" x14ac:dyDescent="0.4">
      <c r="Q1557" s="196"/>
    </row>
    <row r="1558" spans="17:17" x14ac:dyDescent="0.4">
      <c r="Q1558" s="196"/>
    </row>
    <row r="1559" spans="17:17" x14ac:dyDescent="0.4">
      <c r="Q1559" s="196"/>
    </row>
    <row r="1560" spans="17:17" x14ac:dyDescent="0.4">
      <c r="Q1560" s="196"/>
    </row>
    <row r="1561" spans="17:17" x14ac:dyDescent="0.4">
      <c r="Q1561" s="196"/>
    </row>
    <row r="1562" spans="17:17" x14ac:dyDescent="0.4">
      <c r="Q1562" s="196"/>
    </row>
    <row r="1563" spans="17:17" x14ac:dyDescent="0.4">
      <c r="Q1563" s="196"/>
    </row>
    <row r="1564" spans="17:17" x14ac:dyDescent="0.4">
      <c r="Q1564" s="196"/>
    </row>
    <row r="1565" spans="17:17" x14ac:dyDescent="0.4">
      <c r="Q1565" s="196"/>
    </row>
    <row r="1566" spans="17:17" x14ac:dyDescent="0.4">
      <c r="Q1566" s="196"/>
    </row>
    <row r="1567" spans="17:17" x14ac:dyDescent="0.4">
      <c r="Q1567" s="196"/>
    </row>
    <row r="1568" spans="17:17" x14ac:dyDescent="0.4">
      <c r="Q1568" s="196"/>
    </row>
    <row r="1569" spans="17:17" x14ac:dyDescent="0.4">
      <c r="Q1569" s="196"/>
    </row>
    <row r="1570" spans="17:17" x14ac:dyDescent="0.4">
      <c r="Q1570" s="196"/>
    </row>
    <row r="1571" spans="17:17" x14ac:dyDescent="0.4">
      <c r="Q1571" s="196"/>
    </row>
    <row r="1572" spans="17:17" x14ac:dyDescent="0.4">
      <c r="Q1572" s="196"/>
    </row>
    <row r="1573" spans="17:17" x14ac:dyDescent="0.4">
      <c r="Q1573" s="196"/>
    </row>
    <row r="1574" spans="17:17" x14ac:dyDescent="0.4">
      <c r="Q1574" s="196"/>
    </row>
    <row r="1575" spans="17:17" x14ac:dyDescent="0.4">
      <c r="Q1575" s="196"/>
    </row>
    <row r="1576" spans="17:17" x14ac:dyDescent="0.4">
      <c r="Q1576" s="196"/>
    </row>
    <row r="1577" spans="17:17" x14ac:dyDescent="0.4">
      <c r="Q1577" s="196"/>
    </row>
    <row r="1578" spans="17:17" x14ac:dyDescent="0.4">
      <c r="Q1578" s="196"/>
    </row>
    <row r="1579" spans="17:17" x14ac:dyDescent="0.4">
      <c r="Q1579" s="196"/>
    </row>
    <row r="1580" spans="17:17" x14ac:dyDescent="0.4">
      <c r="Q1580" s="196"/>
    </row>
    <row r="1581" spans="17:17" x14ac:dyDescent="0.4">
      <c r="Q1581" s="196"/>
    </row>
    <row r="1582" spans="17:17" x14ac:dyDescent="0.4">
      <c r="Q1582" s="196"/>
    </row>
    <row r="1583" spans="17:17" x14ac:dyDescent="0.4">
      <c r="Q1583" s="196"/>
    </row>
    <row r="1584" spans="17:17" x14ac:dyDescent="0.4">
      <c r="Q1584" s="196"/>
    </row>
    <row r="1585" spans="17:17" x14ac:dyDescent="0.4">
      <c r="Q1585" s="196"/>
    </row>
    <row r="1586" spans="17:17" x14ac:dyDescent="0.4">
      <c r="Q1586" s="196"/>
    </row>
    <row r="1587" spans="17:17" x14ac:dyDescent="0.4">
      <c r="Q1587" s="196"/>
    </row>
    <row r="1588" spans="17:17" x14ac:dyDescent="0.4">
      <c r="Q1588" s="196"/>
    </row>
    <row r="1589" spans="17:17" x14ac:dyDescent="0.4">
      <c r="Q1589" s="196"/>
    </row>
    <row r="1590" spans="17:17" x14ac:dyDescent="0.4">
      <c r="Q1590" s="196"/>
    </row>
    <row r="1591" spans="17:17" x14ac:dyDescent="0.4">
      <c r="Q1591" s="196"/>
    </row>
    <row r="1592" spans="17:17" x14ac:dyDescent="0.4">
      <c r="Q1592" s="196"/>
    </row>
    <row r="1593" spans="17:17" x14ac:dyDescent="0.4">
      <c r="Q1593" s="196"/>
    </row>
    <row r="1594" spans="17:17" x14ac:dyDescent="0.4">
      <c r="Q1594" s="196"/>
    </row>
    <row r="1595" spans="17:17" x14ac:dyDescent="0.4">
      <c r="Q1595" s="196"/>
    </row>
    <row r="1596" spans="17:17" x14ac:dyDescent="0.4">
      <c r="Q1596" s="196"/>
    </row>
    <row r="1597" spans="17:17" x14ac:dyDescent="0.4">
      <c r="Q1597" s="196"/>
    </row>
    <row r="1598" spans="17:17" x14ac:dyDescent="0.4">
      <c r="Q1598" s="196"/>
    </row>
    <row r="1599" spans="17:17" x14ac:dyDescent="0.4">
      <c r="Q1599" s="196"/>
    </row>
    <row r="1600" spans="17:17" x14ac:dyDescent="0.4">
      <c r="Q1600" s="196"/>
    </row>
    <row r="1601" spans="17:17" x14ac:dyDescent="0.4">
      <c r="Q1601" s="196"/>
    </row>
    <row r="1602" spans="17:17" x14ac:dyDescent="0.4">
      <c r="Q1602" s="196"/>
    </row>
    <row r="1603" spans="17:17" x14ac:dyDescent="0.4">
      <c r="Q1603" s="196"/>
    </row>
    <row r="1604" spans="17:17" x14ac:dyDescent="0.4">
      <c r="Q1604" s="196"/>
    </row>
    <row r="1605" spans="17:17" x14ac:dyDescent="0.4">
      <c r="Q1605" s="196"/>
    </row>
    <row r="1606" spans="17:17" x14ac:dyDescent="0.4">
      <c r="Q1606" s="196"/>
    </row>
    <row r="1607" spans="17:17" x14ac:dyDescent="0.4">
      <c r="Q1607" s="196"/>
    </row>
    <row r="1608" spans="17:17" x14ac:dyDescent="0.4">
      <c r="Q1608" s="196"/>
    </row>
    <row r="1609" spans="17:17" x14ac:dyDescent="0.4">
      <c r="Q1609" s="196"/>
    </row>
    <row r="1610" spans="17:17" x14ac:dyDescent="0.4">
      <c r="Q1610" s="196"/>
    </row>
    <row r="1611" spans="17:17" x14ac:dyDescent="0.4">
      <c r="Q1611" s="196"/>
    </row>
    <row r="1612" spans="17:17" x14ac:dyDescent="0.4">
      <c r="Q1612" s="196"/>
    </row>
    <row r="1613" spans="17:17" x14ac:dyDescent="0.4">
      <c r="Q1613" s="196"/>
    </row>
    <row r="1614" spans="17:17" x14ac:dyDescent="0.4">
      <c r="Q1614" s="196"/>
    </row>
    <row r="1615" spans="17:17" x14ac:dyDescent="0.4">
      <c r="Q1615" s="196"/>
    </row>
    <row r="1616" spans="17:17" x14ac:dyDescent="0.4">
      <c r="Q1616" s="196"/>
    </row>
    <row r="1617" spans="17:17" x14ac:dyDescent="0.4">
      <c r="Q1617" s="196"/>
    </row>
    <row r="1618" spans="17:17" x14ac:dyDescent="0.4">
      <c r="Q1618" s="196"/>
    </row>
    <row r="1619" spans="17:17" x14ac:dyDescent="0.4">
      <c r="Q1619" s="196"/>
    </row>
    <row r="1620" spans="17:17" x14ac:dyDescent="0.4">
      <c r="Q1620" s="196"/>
    </row>
    <row r="1621" spans="17:17" x14ac:dyDescent="0.4">
      <c r="Q1621" s="196"/>
    </row>
    <row r="1622" spans="17:17" x14ac:dyDescent="0.4">
      <c r="Q1622" s="196"/>
    </row>
    <row r="1623" spans="17:17" x14ac:dyDescent="0.4">
      <c r="Q1623" s="196"/>
    </row>
    <row r="1624" spans="17:17" x14ac:dyDescent="0.4">
      <c r="Q1624" s="196"/>
    </row>
    <row r="1625" spans="17:17" x14ac:dyDescent="0.4">
      <c r="Q1625" s="196"/>
    </row>
    <row r="1626" spans="17:17" x14ac:dyDescent="0.4">
      <c r="Q1626" s="196"/>
    </row>
    <row r="1627" spans="17:17" x14ac:dyDescent="0.4">
      <c r="Q1627" s="196"/>
    </row>
    <row r="1628" spans="17:17" x14ac:dyDescent="0.4">
      <c r="Q1628" s="196"/>
    </row>
    <row r="1629" spans="17:17" x14ac:dyDescent="0.4">
      <c r="Q1629" s="196"/>
    </row>
    <row r="1630" spans="17:17" x14ac:dyDescent="0.4">
      <c r="Q1630" s="196"/>
    </row>
    <row r="1631" spans="17:17" x14ac:dyDescent="0.4">
      <c r="Q1631" s="196"/>
    </row>
    <row r="1632" spans="17:17" x14ac:dyDescent="0.4">
      <c r="Q1632" s="196"/>
    </row>
    <row r="1633" spans="17:17" x14ac:dyDescent="0.4">
      <c r="Q1633" s="196"/>
    </row>
    <row r="1634" spans="17:17" x14ac:dyDescent="0.4">
      <c r="Q1634" s="196"/>
    </row>
    <row r="1635" spans="17:17" x14ac:dyDescent="0.4">
      <c r="Q1635" s="196"/>
    </row>
    <row r="1636" spans="17:17" x14ac:dyDescent="0.4">
      <c r="Q1636" s="196"/>
    </row>
    <row r="1637" spans="17:17" x14ac:dyDescent="0.4">
      <c r="Q1637" s="196"/>
    </row>
    <row r="1638" spans="17:17" x14ac:dyDescent="0.4">
      <c r="Q1638" s="196"/>
    </row>
    <row r="1639" spans="17:17" x14ac:dyDescent="0.4">
      <c r="Q1639" s="196"/>
    </row>
    <row r="1640" spans="17:17" x14ac:dyDescent="0.4">
      <c r="Q1640" s="196"/>
    </row>
    <row r="1641" spans="17:17" x14ac:dyDescent="0.4">
      <c r="Q1641" s="196"/>
    </row>
    <row r="1642" spans="17:17" x14ac:dyDescent="0.4">
      <c r="Q1642" s="196"/>
    </row>
    <row r="1643" spans="17:17" x14ac:dyDescent="0.4">
      <c r="Q1643" s="196"/>
    </row>
    <row r="1644" spans="17:17" x14ac:dyDescent="0.4">
      <c r="Q1644" s="196"/>
    </row>
    <row r="1645" spans="17:17" x14ac:dyDescent="0.4">
      <c r="Q1645" s="196"/>
    </row>
    <row r="1646" spans="17:17" x14ac:dyDescent="0.4">
      <c r="Q1646" s="196"/>
    </row>
    <row r="1647" spans="17:17" x14ac:dyDescent="0.4">
      <c r="Q1647" s="196"/>
    </row>
    <row r="1648" spans="17:17" x14ac:dyDescent="0.4">
      <c r="Q1648" s="196"/>
    </row>
    <row r="1649" spans="17:17" x14ac:dyDescent="0.4">
      <c r="Q1649" s="196"/>
    </row>
    <row r="1650" spans="17:17" x14ac:dyDescent="0.4">
      <c r="Q1650" s="196"/>
    </row>
    <row r="1651" spans="17:17" x14ac:dyDescent="0.4">
      <c r="Q1651" s="196"/>
    </row>
    <row r="1652" spans="17:17" x14ac:dyDescent="0.4">
      <c r="Q1652" s="196"/>
    </row>
    <row r="1653" spans="17:17" x14ac:dyDescent="0.4">
      <c r="Q1653" s="196"/>
    </row>
    <row r="1654" spans="17:17" x14ac:dyDescent="0.4">
      <c r="Q1654" s="196"/>
    </row>
    <row r="1655" spans="17:17" x14ac:dyDescent="0.4">
      <c r="Q1655" s="196"/>
    </row>
    <row r="1656" spans="17:17" x14ac:dyDescent="0.4">
      <c r="Q1656" s="196"/>
    </row>
    <row r="1657" spans="17:17" x14ac:dyDescent="0.4">
      <c r="Q1657" s="196"/>
    </row>
    <row r="1658" spans="17:17" x14ac:dyDescent="0.4">
      <c r="Q1658" s="196"/>
    </row>
    <row r="1659" spans="17:17" x14ac:dyDescent="0.4">
      <c r="Q1659" s="196"/>
    </row>
    <row r="1660" spans="17:17" x14ac:dyDescent="0.4">
      <c r="Q1660" s="196"/>
    </row>
    <row r="1661" spans="17:17" x14ac:dyDescent="0.4">
      <c r="Q1661" s="196"/>
    </row>
    <row r="1662" spans="17:17" x14ac:dyDescent="0.4">
      <c r="Q1662" s="196"/>
    </row>
    <row r="1663" spans="17:17" x14ac:dyDescent="0.4">
      <c r="Q1663" s="196"/>
    </row>
    <row r="1664" spans="17:17" x14ac:dyDescent="0.4">
      <c r="Q1664" s="196"/>
    </row>
    <row r="1665" spans="17:17" x14ac:dyDescent="0.4">
      <c r="Q1665" s="196"/>
    </row>
    <row r="1666" spans="17:17" x14ac:dyDescent="0.4">
      <c r="Q1666" s="196"/>
    </row>
    <row r="1667" spans="17:17" x14ac:dyDescent="0.4">
      <c r="Q1667" s="196"/>
    </row>
    <row r="1668" spans="17:17" x14ac:dyDescent="0.4">
      <c r="Q1668" s="196"/>
    </row>
    <row r="1669" spans="17:17" x14ac:dyDescent="0.4">
      <c r="Q1669" s="196"/>
    </row>
    <row r="1670" spans="17:17" x14ac:dyDescent="0.4">
      <c r="Q1670" s="196"/>
    </row>
    <row r="1671" spans="17:17" x14ac:dyDescent="0.4">
      <c r="Q1671" s="196"/>
    </row>
    <row r="1672" spans="17:17" x14ac:dyDescent="0.4">
      <c r="Q1672" s="196"/>
    </row>
    <row r="1673" spans="17:17" x14ac:dyDescent="0.4">
      <c r="Q1673" s="196"/>
    </row>
    <row r="1674" spans="17:17" x14ac:dyDescent="0.4">
      <c r="Q1674" s="196"/>
    </row>
    <row r="1675" spans="17:17" x14ac:dyDescent="0.4">
      <c r="Q1675" s="196"/>
    </row>
    <row r="1676" spans="17:17" x14ac:dyDescent="0.4">
      <c r="Q1676" s="196"/>
    </row>
    <row r="1677" spans="17:17" x14ac:dyDescent="0.4">
      <c r="Q1677" s="196"/>
    </row>
    <row r="1678" spans="17:17" x14ac:dyDescent="0.4">
      <c r="Q1678" s="196"/>
    </row>
    <row r="1679" spans="17:17" x14ac:dyDescent="0.4">
      <c r="Q1679" s="196"/>
    </row>
    <row r="1680" spans="17:17" x14ac:dyDescent="0.4">
      <c r="Q1680" s="196"/>
    </row>
    <row r="1681" spans="17:17" x14ac:dyDescent="0.4">
      <c r="Q1681" s="196"/>
    </row>
    <row r="1682" spans="17:17" x14ac:dyDescent="0.4">
      <c r="Q1682" s="196"/>
    </row>
    <row r="1683" spans="17:17" x14ac:dyDescent="0.4">
      <c r="Q1683" s="196"/>
    </row>
    <row r="1684" spans="17:17" x14ac:dyDescent="0.4">
      <c r="Q1684" s="196"/>
    </row>
    <row r="1685" spans="17:17" x14ac:dyDescent="0.4">
      <c r="Q1685" s="196"/>
    </row>
    <row r="1686" spans="17:17" x14ac:dyDescent="0.4">
      <c r="Q1686" s="196"/>
    </row>
    <row r="1687" spans="17:17" x14ac:dyDescent="0.4">
      <c r="Q1687" s="196"/>
    </row>
    <row r="1688" spans="17:17" x14ac:dyDescent="0.4">
      <c r="Q1688" s="196"/>
    </row>
    <row r="1689" spans="17:17" x14ac:dyDescent="0.4">
      <c r="Q1689" s="196"/>
    </row>
    <row r="1690" spans="17:17" x14ac:dyDescent="0.4">
      <c r="Q1690" s="196"/>
    </row>
    <row r="1691" spans="17:17" x14ac:dyDescent="0.4">
      <c r="Q1691" s="196"/>
    </row>
    <row r="1692" spans="17:17" x14ac:dyDescent="0.4">
      <c r="Q1692" s="196"/>
    </row>
    <row r="1693" spans="17:17" x14ac:dyDescent="0.4">
      <c r="Q1693" s="196"/>
    </row>
    <row r="1694" spans="17:17" x14ac:dyDescent="0.4">
      <c r="Q1694" s="196"/>
    </row>
    <row r="1695" spans="17:17" x14ac:dyDescent="0.4">
      <c r="Q1695" s="196"/>
    </row>
    <row r="1696" spans="17:17" x14ac:dyDescent="0.4">
      <c r="Q1696" s="196"/>
    </row>
    <row r="1697" spans="17:17" x14ac:dyDescent="0.4">
      <c r="Q1697" s="196"/>
    </row>
    <row r="1698" spans="17:17" x14ac:dyDescent="0.4">
      <c r="Q1698" s="196"/>
    </row>
    <row r="1699" spans="17:17" x14ac:dyDescent="0.4">
      <c r="Q1699" s="196"/>
    </row>
    <row r="1700" spans="17:17" x14ac:dyDescent="0.4">
      <c r="Q1700" s="196"/>
    </row>
    <row r="1701" spans="17:17" x14ac:dyDescent="0.4">
      <c r="Q1701" s="196"/>
    </row>
    <row r="1702" spans="17:17" x14ac:dyDescent="0.4">
      <c r="Q1702" s="196"/>
    </row>
    <row r="1703" spans="17:17" x14ac:dyDescent="0.4">
      <c r="Q1703" s="196"/>
    </row>
    <row r="1704" spans="17:17" x14ac:dyDescent="0.4">
      <c r="Q1704" s="196"/>
    </row>
    <row r="1705" spans="17:17" x14ac:dyDescent="0.4">
      <c r="Q1705" s="196"/>
    </row>
    <row r="1706" spans="17:17" x14ac:dyDescent="0.4">
      <c r="Q1706" s="196"/>
    </row>
    <row r="1707" spans="17:17" x14ac:dyDescent="0.4">
      <c r="Q1707" s="196"/>
    </row>
    <row r="1708" spans="17:17" x14ac:dyDescent="0.4">
      <c r="Q1708" s="196"/>
    </row>
    <row r="1709" spans="17:17" x14ac:dyDescent="0.4">
      <c r="Q1709" s="196"/>
    </row>
    <row r="1710" spans="17:17" x14ac:dyDescent="0.4">
      <c r="Q1710" s="196"/>
    </row>
    <row r="1711" spans="17:17" x14ac:dyDescent="0.4">
      <c r="Q1711" s="196"/>
    </row>
    <row r="1712" spans="17:17" x14ac:dyDescent="0.4">
      <c r="Q1712" s="196"/>
    </row>
    <row r="1713" spans="17:17" x14ac:dyDescent="0.4">
      <c r="Q1713" s="196"/>
    </row>
    <row r="1714" spans="17:17" x14ac:dyDescent="0.4">
      <c r="Q1714" s="196"/>
    </row>
    <row r="1715" spans="17:17" x14ac:dyDescent="0.4">
      <c r="Q1715" s="196"/>
    </row>
    <row r="1716" spans="17:17" x14ac:dyDescent="0.4">
      <c r="Q1716" s="196"/>
    </row>
    <row r="1717" spans="17:17" x14ac:dyDescent="0.4">
      <c r="Q1717" s="196"/>
    </row>
    <row r="1718" spans="17:17" x14ac:dyDescent="0.4">
      <c r="Q1718" s="196"/>
    </row>
    <row r="1719" spans="17:17" x14ac:dyDescent="0.4">
      <c r="Q1719" s="196"/>
    </row>
    <row r="1720" spans="17:17" x14ac:dyDescent="0.4">
      <c r="Q1720" s="196"/>
    </row>
    <row r="1721" spans="17:17" x14ac:dyDescent="0.4">
      <c r="Q1721" s="196"/>
    </row>
    <row r="1722" spans="17:17" x14ac:dyDescent="0.4">
      <c r="Q1722" s="196"/>
    </row>
    <row r="1723" spans="17:17" x14ac:dyDescent="0.4">
      <c r="Q1723" s="196"/>
    </row>
    <row r="1724" spans="17:17" x14ac:dyDescent="0.4">
      <c r="Q1724" s="196"/>
    </row>
    <row r="1725" spans="17:17" x14ac:dyDescent="0.4">
      <c r="Q1725" s="196"/>
    </row>
    <row r="1726" spans="17:17" x14ac:dyDescent="0.4">
      <c r="Q1726" s="196"/>
    </row>
    <row r="1727" spans="17:17" x14ac:dyDescent="0.4">
      <c r="Q1727" s="196"/>
    </row>
    <row r="1728" spans="17:17" x14ac:dyDescent="0.4">
      <c r="Q1728" s="196"/>
    </row>
    <row r="1729" spans="17:17" x14ac:dyDescent="0.4">
      <c r="Q1729" s="196"/>
    </row>
    <row r="1730" spans="17:17" x14ac:dyDescent="0.4">
      <c r="Q1730" s="196"/>
    </row>
    <row r="1731" spans="17:17" x14ac:dyDescent="0.4">
      <c r="Q1731" s="196"/>
    </row>
    <row r="1732" spans="17:17" x14ac:dyDescent="0.4">
      <c r="Q1732" s="196"/>
    </row>
    <row r="1733" spans="17:17" x14ac:dyDescent="0.4">
      <c r="Q1733" s="196"/>
    </row>
    <row r="1734" spans="17:17" x14ac:dyDescent="0.4">
      <c r="Q1734" s="196"/>
    </row>
    <row r="1735" spans="17:17" x14ac:dyDescent="0.4">
      <c r="Q1735" s="196"/>
    </row>
    <row r="1736" spans="17:17" x14ac:dyDescent="0.4">
      <c r="Q1736" s="196"/>
    </row>
    <row r="1737" spans="17:17" x14ac:dyDescent="0.4">
      <c r="Q1737" s="196"/>
    </row>
    <row r="1738" spans="17:17" x14ac:dyDescent="0.4">
      <c r="Q1738" s="196"/>
    </row>
    <row r="1739" spans="17:17" x14ac:dyDescent="0.4">
      <c r="Q1739" s="196"/>
    </row>
    <row r="1740" spans="17:17" x14ac:dyDescent="0.4">
      <c r="Q1740" s="196"/>
    </row>
    <row r="1741" spans="17:17" x14ac:dyDescent="0.4">
      <c r="Q1741" s="196"/>
    </row>
    <row r="1742" spans="17:17" x14ac:dyDescent="0.4">
      <c r="Q1742" s="196"/>
    </row>
    <row r="1743" spans="17:17" x14ac:dyDescent="0.4">
      <c r="Q1743" s="196"/>
    </row>
    <row r="1744" spans="17:17" x14ac:dyDescent="0.4">
      <c r="Q1744" s="196"/>
    </row>
    <row r="1745" spans="17:17" x14ac:dyDescent="0.4">
      <c r="Q1745" s="196"/>
    </row>
    <row r="1746" spans="17:17" x14ac:dyDescent="0.4">
      <c r="Q1746" s="196"/>
    </row>
    <row r="1747" spans="17:17" x14ac:dyDescent="0.4">
      <c r="Q1747" s="196"/>
    </row>
    <row r="1748" spans="17:17" x14ac:dyDescent="0.4">
      <c r="Q1748" s="196"/>
    </row>
    <row r="1749" spans="17:17" x14ac:dyDescent="0.4">
      <c r="Q1749" s="196"/>
    </row>
    <row r="1750" spans="17:17" x14ac:dyDescent="0.4">
      <c r="Q1750" s="196"/>
    </row>
    <row r="1751" spans="17:17" x14ac:dyDescent="0.4">
      <c r="Q1751" s="196"/>
    </row>
    <row r="1752" spans="17:17" x14ac:dyDescent="0.4">
      <c r="Q1752" s="196"/>
    </row>
    <row r="1753" spans="17:17" x14ac:dyDescent="0.4">
      <c r="Q1753" s="196"/>
    </row>
    <row r="1754" spans="17:17" x14ac:dyDescent="0.4">
      <c r="Q1754" s="196"/>
    </row>
    <row r="1755" spans="17:17" x14ac:dyDescent="0.4">
      <c r="Q1755" s="196"/>
    </row>
    <row r="1756" spans="17:17" x14ac:dyDescent="0.4">
      <c r="Q1756" s="196"/>
    </row>
    <row r="1757" spans="17:17" x14ac:dyDescent="0.4">
      <c r="Q1757" s="196"/>
    </row>
    <row r="1758" spans="17:17" x14ac:dyDescent="0.4">
      <c r="Q1758" s="196"/>
    </row>
    <row r="1759" spans="17:17" x14ac:dyDescent="0.4">
      <c r="Q1759" s="196"/>
    </row>
    <row r="1760" spans="17:17" x14ac:dyDescent="0.4">
      <c r="Q1760" s="196"/>
    </row>
    <row r="1761" spans="17:17" x14ac:dyDescent="0.4">
      <c r="Q1761" s="196"/>
    </row>
    <row r="1762" spans="17:17" x14ac:dyDescent="0.4">
      <c r="Q1762" s="196"/>
    </row>
    <row r="1763" spans="17:17" x14ac:dyDescent="0.4">
      <c r="Q1763" s="196"/>
    </row>
    <row r="1764" spans="17:17" x14ac:dyDescent="0.4">
      <c r="Q1764" s="196"/>
    </row>
    <row r="1765" spans="17:17" x14ac:dyDescent="0.4">
      <c r="Q1765" s="196"/>
    </row>
    <row r="1766" spans="17:17" x14ac:dyDescent="0.4">
      <c r="Q1766" s="196"/>
    </row>
    <row r="1767" spans="17:17" x14ac:dyDescent="0.4">
      <c r="Q1767" s="196"/>
    </row>
    <row r="1768" spans="17:17" x14ac:dyDescent="0.4">
      <c r="Q1768" s="196"/>
    </row>
    <row r="1769" spans="17:17" x14ac:dyDescent="0.4">
      <c r="Q1769" s="196"/>
    </row>
    <row r="1770" spans="17:17" x14ac:dyDescent="0.4">
      <c r="Q1770" s="196"/>
    </row>
    <row r="1771" spans="17:17" x14ac:dyDescent="0.4">
      <c r="Q1771" s="196"/>
    </row>
    <row r="1772" spans="17:17" x14ac:dyDescent="0.4">
      <c r="Q1772" s="196"/>
    </row>
    <row r="1773" spans="17:17" x14ac:dyDescent="0.4">
      <c r="Q1773" s="196"/>
    </row>
    <row r="1774" spans="17:17" x14ac:dyDescent="0.4">
      <c r="Q1774" s="196"/>
    </row>
    <row r="1775" spans="17:17" x14ac:dyDescent="0.4">
      <c r="Q1775" s="196"/>
    </row>
    <row r="1776" spans="17:17" x14ac:dyDescent="0.4">
      <c r="Q1776" s="196"/>
    </row>
    <row r="1777" spans="17:17" x14ac:dyDescent="0.4">
      <c r="Q1777" s="196"/>
    </row>
    <row r="1778" spans="17:17" x14ac:dyDescent="0.4">
      <c r="Q1778" s="196"/>
    </row>
    <row r="1779" spans="17:17" x14ac:dyDescent="0.4">
      <c r="Q1779" s="196"/>
    </row>
    <row r="1780" spans="17:17" x14ac:dyDescent="0.4">
      <c r="Q1780" s="196"/>
    </row>
    <row r="1781" spans="17:17" x14ac:dyDescent="0.4">
      <c r="Q1781" s="196"/>
    </row>
    <row r="1782" spans="17:17" x14ac:dyDescent="0.4">
      <c r="Q1782" s="196"/>
    </row>
    <row r="1783" spans="17:17" x14ac:dyDescent="0.4">
      <c r="Q1783" s="196"/>
    </row>
    <row r="1784" spans="17:17" x14ac:dyDescent="0.4">
      <c r="Q1784" s="196"/>
    </row>
    <row r="1785" spans="17:17" x14ac:dyDescent="0.4">
      <c r="Q1785" s="196"/>
    </row>
    <row r="1786" spans="17:17" x14ac:dyDescent="0.4">
      <c r="Q1786" s="196"/>
    </row>
    <row r="1787" spans="17:17" x14ac:dyDescent="0.4">
      <c r="Q1787" s="196"/>
    </row>
    <row r="1788" spans="17:17" x14ac:dyDescent="0.4">
      <c r="Q1788" s="196"/>
    </row>
    <row r="1789" spans="17:17" x14ac:dyDescent="0.4">
      <c r="Q1789" s="196"/>
    </row>
    <row r="1790" spans="17:17" x14ac:dyDescent="0.4">
      <c r="Q1790" s="196"/>
    </row>
    <row r="1791" spans="17:17" x14ac:dyDescent="0.4">
      <c r="Q1791" s="196"/>
    </row>
    <row r="1792" spans="17:17" x14ac:dyDescent="0.4">
      <c r="Q1792" s="196"/>
    </row>
    <row r="1793" spans="17:17" x14ac:dyDescent="0.4">
      <c r="Q1793" s="196"/>
    </row>
    <row r="1794" spans="17:17" x14ac:dyDescent="0.4">
      <c r="Q1794" s="196"/>
    </row>
    <row r="1795" spans="17:17" x14ac:dyDescent="0.4">
      <c r="Q1795" s="196"/>
    </row>
    <row r="1796" spans="17:17" x14ac:dyDescent="0.4">
      <c r="Q1796" s="196"/>
    </row>
    <row r="1797" spans="17:17" x14ac:dyDescent="0.4">
      <c r="Q1797" s="196"/>
    </row>
    <row r="1798" spans="17:17" x14ac:dyDescent="0.4">
      <c r="Q1798" s="196"/>
    </row>
    <row r="1799" spans="17:17" x14ac:dyDescent="0.4">
      <c r="Q1799" s="196"/>
    </row>
    <row r="1800" spans="17:17" x14ac:dyDescent="0.4">
      <c r="Q1800" s="196"/>
    </row>
    <row r="1801" spans="17:17" x14ac:dyDescent="0.4">
      <c r="Q1801" s="196"/>
    </row>
    <row r="1802" spans="17:17" x14ac:dyDescent="0.4">
      <c r="Q1802" s="196"/>
    </row>
    <row r="1803" spans="17:17" x14ac:dyDescent="0.4">
      <c r="Q1803" s="196"/>
    </row>
    <row r="1804" spans="17:17" x14ac:dyDescent="0.4">
      <c r="Q1804" s="196"/>
    </row>
    <row r="1805" spans="17:17" x14ac:dyDescent="0.4">
      <c r="Q1805" s="196"/>
    </row>
    <row r="1806" spans="17:17" x14ac:dyDescent="0.4">
      <c r="Q1806" s="196"/>
    </row>
    <row r="1807" spans="17:17" x14ac:dyDescent="0.4">
      <c r="Q1807" s="196"/>
    </row>
    <row r="1808" spans="17:17" x14ac:dyDescent="0.4">
      <c r="Q1808" s="196"/>
    </row>
    <row r="1809" spans="17:17" x14ac:dyDescent="0.4">
      <c r="Q1809" s="196"/>
    </row>
    <row r="1810" spans="17:17" x14ac:dyDescent="0.4">
      <c r="Q1810" s="196"/>
    </row>
    <row r="1811" spans="17:17" x14ac:dyDescent="0.4">
      <c r="Q1811" s="196"/>
    </row>
    <row r="1812" spans="17:17" x14ac:dyDescent="0.4">
      <c r="Q1812" s="196"/>
    </row>
    <row r="1813" spans="17:17" x14ac:dyDescent="0.4">
      <c r="Q1813" s="196"/>
    </row>
    <row r="1814" spans="17:17" x14ac:dyDescent="0.4">
      <c r="Q1814" s="196"/>
    </row>
    <row r="1815" spans="17:17" x14ac:dyDescent="0.4">
      <c r="Q1815" s="196"/>
    </row>
    <row r="1816" spans="17:17" x14ac:dyDescent="0.4">
      <c r="Q1816" s="196"/>
    </row>
    <row r="1817" spans="17:17" x14ac:dyDescent="0.4">
      <c r="Q1817" s="196"/>
    </row>
    <row r="1818" spans="17:17" x14ac:dyDescent="0.4">
      <c r="Q1818" s="196"/>
    </row>
    <row r="1819" spans="17:17" x14ac:dyDescent="0.4">
      <c r="Q1819" s="196"/>
    </row>
    <row r="1820" spans="17:17" x14ac:dyDescent="0.4">
      <c r="Q1820" s="196"/>
    </row>
    <row r="1821" spans="17:17" x14ac:dyDescent="0.4">
      <c r="Q1821" s="196"/>
    </row>
    <row r="1822" spans="17:17" x14ac:dyDescent="0.4">
      <c r="Q1822" s="196"/>
    </row>
    <row r="1823" spans="17:17" x14ac:dyDescent="0.4">
      <c r="Q1823" s="196"/>
    </row>
    <row r="1824" spans="17:17" x14ac:dyDescent="0.4">
      <c r="Q1824" s="196"/>
    </row>
    <row r="1825" spans="17:17" x14ac:dyDescent="0.4">
      <c r="Q1825" s="196"/>
    </row>
    <row r="1826" spans="17:17" x14ac:dyDescent="0.4">
      <c r="Q1826" s="196"/>
    </row>
    <row r="1827" spans="17:17" x14ac:dyDescent="0.4">
      <c r="Q1827" s="196"/>
    </row>
    <row r="1828" spans="17:17" x14ac:dyDescent="0.4">
      <c r="Q1828" s="196"/>
    </row>
    <row r="1829" spans="17:17" x14ac:dyDescent="0.4">
      <c r="Q1829" s="196"/>
    </row>
    <row r="1830" spans="17:17" x14ac:dyDescent="0.4">
      <c r="Q1830" s="196"/>
    </row>
    <row r="1831" spans="17:17" x14ac:dyDescent="0.4">
      <c r="Q1831" s="196"/>
    </row>
    <row r="1832" spans="17:17" x14ac:dyDescent="0.4">
      <c r="Q1832" s="196"/>
    </row>
    <row r="1833" spans="17:17" x14ac:dyDescent="0.4">
      <c r="Q1833" s="196"/>
    </row>
    <row r="1834" spans="17:17" x14ac:dyDescent="0.4">
      <c r="Q1834" s="196"/>
    </row>
    <row r="1835" spans="17:17" x14ac:dyDescent="0.4">
      <c r="Q1835" s="196"/>
    </row>
    <row r="1836" spans="17:17" x14ac:dyDescent="0.4">
      <c r="Q1836" s="196"/>
    </row>
    <row r="1837" spans="17:17" x14ac:dyDescent="0.4">
      <c r="Q1837" s="196"/>
    </row>
    <row r="1838" spans="17:17" x14ac:dyDescent="0.4">
      <c r="Q1838" s="196"/>
    </row>
    <row r="1839" spans="17:17" x14ac:dyDescent="0.4">
      <c r="Q1839" s="196"/>
    </row>
    <row r="1840" spans="17:17" x14ac:dyDescent="0.4">
      <c r="Q1840" s="196"/>
    </row>
    <row r="1841" spans="17:17" x14ac:dyDescent="0.4">
      <c r="Q1841" s="196"/>
    </row>
    <row r="1842" spans="17:17" x14ac:dyDescent="0.4">
      <c r="Q1842" s="196"/>
    </row>
    <row r="1843" spans="17:17" x14ac:dyDescent="0.4">
      <c r="Q1843" s="196"/>
    </row>
    <row r="1844" spans="17:17" x14ac:dyDescent="0.4">
      <c r="Q1844" s="196"/>
    </row>
    <row r="1845" spans="17:17" x14ac:dyDescent="0.4">
      <c r="Q1845" s="196"/>
    </row>
    <row r="1846" spans="17:17" x14ac:dyDescent="0.4">
      <c r="Q1846" s="196"/>
    </row>
    <row r="1847" spans="17:17" x14ac:dyDescent="0.4">
      <c r="Q1847" s="196"/>
    </row>
    <row r="1848" spans="17:17" x14ac:dyDescent="0.4">
      <c r="Q1848" s="196"/>
    </row>
    <row r="1849" spans="17:17" x14ac:dyDescent="0.4">
      <c r="Q1849" s="196"/>
    </row>
    <row r="1850" spans="17:17" x14ac:dyDescent="0.4">
      <c r="Q1850" s="196"/>
    </row>
    <row r="1851" spans="17:17" x14ac:dyDescent="0.4">
      <c r="Q1851" s="196"/>
    </row>
    <row r="1852" spans="17:17" x14ac:dyDescent="0.4">
      <c r="Q1852" s="196"/>
    </row>
    <row r="1853" spans="17:17" x14ac:dyDescent="0.4">
      <c r="Q1853" s="196"/>
    </row>
    <row r="1854" spans="17:17" x14ac:dyDescent="0.4">
      <c r="Q1854" s="196"/>
    </row>
    <row r="1855" spans="17:17" x14ac:dyDescent="0.4">
      <c r="Q1855" s="196"/>
    </row>
    <row r="1856" spans="17:17" x14ac:dyDescent="0.4">
      <c r="Q1856" s="196"/>
    </row>
    <row r="1857" spans="17:17" x14ac:dyDescent="0.4">
      <c r="Q1857" s="196"/>
    </row>
    <row r="1858" spans="17:17" x14ac:dyDescent="0.4">
      <c r="Q1858" s="196"/>
    </row>
    <row r="1859" spans="17:17" x14ac:dyDescent="0.4">
      <c r="Q1859" s="196"/>
    </row>
    <row r="1860" spans="17:17" x14ac:dyDescent="0.4">
      <c r="Q1860" s="196"/>
    </row>
    <row r="1861" spans="17:17" x14ac:dyDescent="0.4">
      <c r="Q1861" s="196"/>
    </row>
    <row r="1862" spans="17:17" x14ac:dyDescent="0.4">
      <c r="Q1862" s="196"/>
    </row>
    <row r="1863" spans="17:17" x14ac:dyDescent="0.4">
      <c r="Q1863" s="196"/>
    </row>
    <row r="1864" spans="17:17" x14ac:dyDescent="0.4">
      <c r="Q1864" s="196"/>
    </row>
    <row r="1865" spans="17:17" x14ac:dyDescent="0.4">
      <c r="Q1865" s="196"/>
    </row>
    <row r="1866" spans="17:17" x14ac:dyDescent="0.4">
      <c r="Q1866" s="196"/>
    </row>
    <row r="1867" spans="17:17" x14ac:dyDescent="0.4">
      <c r="Q1867" s="196"/>
    </row>
    <row r="1868" spans="17:17" x14ac:dyDescent="0.4">
      <c r="Q1868" s="196"/>
    </row>
    <row r="1869" spans="17:17" x14ac:dyDescent="0.4">
      <c r="Q1869" s="196"/>
    </row>
    <row r="1870" spans="17:17" x14ac:dyDescent="0.4">
      <c r="Q1870" s="196"/>
    </row>
    <row r="1871" spans="17:17" x14ac:dyDescent="0.4">
      <c r="Q1871" s="196"/>
    </row>
    <row r="1872" spans="17:17" x14ac:dyDescent="0.4">
      <c r="Q1872" s="196"/>
    </row>
    <row r="1873" spans="17:17" x14ac:dyDescent="0.4">
      <c r="Q1873" s="196"/>
    </row>
    <row r="1874" spans="17:17" x14ac:dyDescent="0.4">
      <c r="Q1874" s="196"/>
    </row>
    <row r="1875" spans="17:17" x14ac:dyDescent="0.4">
      <c r="Q1875" s="196"/>
    </row>
    <row r="1876" spans="17:17" x14ac:dyDescent="0.4">
      <c r="Q1876" s="196"/>
    </row>
    <row r="1877" spans="17:17" x14ac:dyDescent="0.4">
      <c r="Q1877" s="196"/>
    </row>
    <row r="1878" spans="17:17" x14ac:dyDescent="0.4">
      <c r="Q1878" s="196"/>
    </row>
    <row r="1879" spans="17:17" x14ac:dyDescent="0.4">
      <c r="Q1879" s="196"/>
    </row>
    <row r="1880" spans="17:17" x14ac:dyDescent="0.4">
      <c r="Q1880" s="196"/>
    </row>
    <row r="1881" spans="17:17" x14ac:dyDescent="0.4">
      <c r="Q1881" s="196"/>
    </row>
    <row r="1882" spans="17:17" x14ac:dyDescent="0.4">
      <c r="Q1882" s="196"/>
    </row>
    <row r="1883" spans="17:17" x14ac:dyDescent="0.4">
      <c r="Q1883" s="196"/>
    </row>
    <row r="1884" spans="17:17" x14ac:dyDescent="0.4">
      <c r="Q1884" s="196"/>
    </row>
    <row r="1885" spans="17:17" x14ac:dyDescent="0.4">
      <c r="Q1885" s="196"/>
    </row>
    <row r="1886" spans="17:17" x14ac:dyDescent="0.4">
      <c r="Q1886" s="196"/>
    </row>
    <row r="1887" spans="17:17" x14ac:dyDescent="0.4">
      <c r="Q1887" s="196"/>
    </row>
    <row r="1888" spans="17:17" x14ac:dyDescent="0.4">
      <c r="Q1888" s="196"/>
    </row>
    <row r="1889" spans="17:17" x14ac:dyDescent="0.4">
      <c r="Q1889" s="196"/>
    </row>
    <row r="1890" spans="17:17" x14ac:dyDescent="0.4">
      <c r="Q1890" s="196"/>
    </row>
    <row r="1891" spans="17:17" x14ac:dyDescent="0.4">
      <c r="Q1891" s="196"/>
    </row>
    <row r="1892" spans="17:17" x14ac:dyDescent="0.4">
      <c r="Q1892" s="196"/>
    </row>
    <row r="1893" spans="17:17" x14ac:dyDescent="0.4">
      <c r="Q1893" s="196"/>
    </row>
    <row r="1894" spans="17:17" x14ac:dyDescent="0.4">
      <c r="Q1894" s="196"/>
    </row>
    <row r="1895" spans="17:17" x14ac:dyDescent="0.4">
      <c r="Q1895" s="196"/>
    </row>
    <row r="1896" spans="17:17" x14ac:dyDescent="0.4">
      <c r="Q1896" s="196"/>
    </row>
    <row r="1897" spans="17:17" x14ac:dyDescent="0.4">
      <c r="Q1897" s="196"/>
    </row>
    <row r="1898" spans="17:17" x14ac:dyDescent="0.4">
      <c r="Q1898" s="196"/>
    </row>
    <row r="1899" spans="17:17" x14ac:dyDescent="0.4">
      <c r="Q1899" s="196"/>
    </row>
    <row r="1900" spans="17:17" x14ac:dyDescent="0.4">
      <c r="Q1900" s="196"/>
    </row>
    <row r="1901" spans="17:17" x14ac:dyDescent="0.4">
      <c r="Q1901" s="196"/>
    </row>
    <row r="1902" spans="17:17" x14ac:dyDescent="0.4">
      <c r="Q1902" s="196"/>
    </row>
    <row r="1903" spans="17:17" x14ac:dyDescent="0.4">
      <c r="Q1903" s="196"/>
    </row>
    <row r="1904" spans="17:17" x14ac:dyDescent="0.4">
      <c r="Q1904" s="196"/>
    </row>
    <row r="1905" spans="17:17" x14ac:dyDescent="0.4">
      <c r="Q1905" s="196"/>
    </row>
    <row r="1906" spans="17:17" x14ac:dyDescent="0.4">
      <c r="Q1906" s="196"/>
    </row>
    <row r="1907" spans="17:17" x14ac:dyDescent="0.4">
      <c r="Q1907" s="196"/>
    </row>
    <row r="1908" spans="17:17" x14ac:dyDescent="0.4">
      <c r="Q1908" s="196"/>
    </row>
    <row r="1909" spans="17:17" x14ac:dyDescent="0.4">
      <c r="Q1909" s="196"/>
    </row>
    <row r="1910" spans="17:17" x14ac:dyDescent="0.4">
      <c r="Q1910" s="196"/>
    </row>
    <row r="1911" spans="17:17" x14ac:dyDescent="0.4">
      <c r="Q1911" s="196"/>
    </row>
    <row r="1912" spans="17:17" x14ac:dyDescent="0.4">
      <c r="Q1912" s="196"/>
    </row>
    <row r="1913" spans="17:17" x14ac:dyDescent="0.4">
      <c r="Q1913" s="196"/>
    </row>
    <row r="1914" spans="17:17" x14ac:dyDescent="0.4">
      <c r="Q1914" s="196"/>
    </row>
    <row r="1915" spans="17:17" x14ac:dyDescent="0.4">
      <c r="Q1915" s="196"/>
    </row>
    <row r="1916" spans="17:17" x14ac:dyDescent="0.4">
      <c r="Q1916" s="196"/>
    </row>
    <row r="1917" spans="17:17" x14ac:dyDescent="0.4">
      <c r="Q1917" s="196"/>
    </row>
    <row r="1918" spans="17:17" x14ac:dyDescent="0.4">
      <c r="Q1918" s="196"/>
    </row>
    <row r="1919" spans="17:17" x14ac:dyDescent="0.4">
      <c r="Q1919" s="196"/>
    </row>
    <row r="1920" spans="17:17" x14ac:dyDescent="0.4">
      <c r="Q1920" s="196"/>
    </row>
    <row r="1921" spans="17:17" x14ac:dyDescent="0.4">
      <c r="Q1921" s="196"/>
    </row>
    <row r="1922" spans="17:17" x14ac:dyDescent="0.4">
      <c r="Q1922" s="196"/>
    </row>
    <row r="1923" spans="17:17" x14ac:dyDescent="0.4">
      <c r="Q1923" s="196"/>
    </row>
    <row r="1924" spans="17:17" x14ac:dyDescent="0.4">
      <c r="Q1924" s="196"/>
    </row>
    <row r="1925" spans="17:17" x14ac:dyDescent="0.4">
      <c r="Q1925" s="196"/>
    </row>
    <row r="1926" spans="17:17" x14ac:dyDescent="0.4">
      <c r="Q1926" s="196"/>
    </row>
    <row r="1927" spans="17:17" x14ac:dyDescent="0.4">
      <c r="Q1927" s="196"/>
    </row>
    <row r="1928" spans="17:17" x14ac:dyDescent="0.4">
      <c r="Q1928" s="196"/>
    </row>
    <row r="1929" spans="17:17" x14ac:dyDescent="0.4">
      <c r="Q1929" s="196"/>
    </row>
    <row r="1930" spans="17:17" x14ac:dyDescent="0.4">
      <c r="Q1930" s="196"/>
    </row>
    <row r="1931" spans="17:17" x14ac:dyDescent="0.4">
      <c r="Q1931" s="196"/>
    </row>
    <row r="1932" spans="17:17" x14ac:dyDescent="0.4">
      <c r="Q1932" s="196"/>
    </row>
    <row r="1933" spans="17:17" x14ac:dyDescent="0.4">
      <c r="Q1933" s="196"/>
    </row>
    <row r="1934" spans="17:17" x14ac:dyDescent="0.4">
      <c r="Q1934" s="196"/>
    </row>
    <row r="1935" spans="17:17" x14ac:dyDescent="0.4">
      <c r="Q1935" s="196"/>
    </row>
    <row r="1936" spans="17:17" x14ac:dyDescent="0.4">
      <c r="Q1936" s="196"/>
    </row>
    <row r="1937" spans="17:17" x14ac:dyDescent="0.4">
      <c r="Q1937" s="196"/>
    </row>
    <row r="1938" spans="17:17" x14ac:dyDescent="0.4">
      <c r="Q1938" s="196"/>
    </row>
    <row r="1939" spans="17:17" x14ac:dyDescent="0.4">
      <c r="Q1939" s="196"/>
    </row>
    <row r="1940" spans="17:17" x14ac:dyDescent="0.4">
      <c r="Q1940" s="196"/>
    </row>
    <row r="1941" spans="17:17" x14ac:dyDescent="0.4">
      <c r="Q1941" s="196"/>
    </row>
    <row r="1942" spans="17:17" x14ac:dyDescent="0.4">
      <c r="Q1942" s="196"/>
    </row>
    <row r="1943" spans="17:17" x14ac:dyDescent="0.4">
      <c r="Q1943" s="196"/>
    </row>
    <row r="1944" spans="17:17" x14ac:dyDescent="0.4">
      <c r="Q1944" s="196"/>
    </row>
    <row r="1945" spans="17:17" x14ac:dyDescent="0.4">
      <c r="Q1945" s="196"/>
    </row>
    <row r="1946" spans="17:17" x14ac:dyDescent="0.4">
      <c r="Q1946" s="196"/>
    </row>
    <row r="1947" spans="17:17" x14ac:dyDescent="0.4">
      <c r="Q1947" s="196"/>
    </row>
    <row r="1948" spans="17:17" x14ac:dyDescent="0.4">
      <c r="Q1948" s="196"/>
    </row>
    <row r="1949" spans="17:17" x14ac:dyDescent="0.4">
      <c r="Q1949" s="196"/>
    </row>
    <row r="1950" spans="17:17" x14ac:dyDescent="0.4">
      <c r="Q1950" s="196"/>
    </row>
    <row r="1951" spans="17:17" x14ac:dyDescent="0.4">
      <c r="Q1951" s="196"/>
    </row>
  </sheetData>
  <sheetProtection formatCells="0" formatColumns="0" formatRows="0" insertColumns="0" insertRows="0" insertHyperlinks="0" deleteColumns="0" deleteRows="0" sort="0" autoFilter="0" pivotTables="0"/>
  <protectedRanges>
    <protectedRange sqref="A19:O100000" name="Range1"/>
  </protectedRanges>
  <mergeCells count="6">
    <mergeCell ref="R19:R22"/>
    <mergeCell ref="L6:M6"/>
    <mergeCell ref="L14:M14"/>
    <mergeCell ref="R1:S1"/>
    <mergeCell ref="R5:R7"/>
    <mergeCell ref="R8:R10"/>
  </mergeCell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autoFill="0" autoPict="0" macro="[0]!ClearAllSlicersAndTimelines_ActiveSheet">
                <anchor moveWithCells="1">
                  <from>
                    <xdr:col>16</xdr:col>
                    <xdr:colOff>272143</xdr:colOff>
                    <xdr:row>9</xdr:row>
                    <xdr:rowOff>163286</xdr:rowOff>
                  </from>
                  <to>
                    <xdr:col>16</xdr:col>
                    <xdr:colOff>1491343</xdr:colOff>
                    <xdr:row>12</xdr:row>
                    <xdr:rowOff>152400</xdr:rowOff>
                  </to>
                </anchor>
              </controlPr>
            </control>
          </mc:Choice>
        </mc:AlternateContent>
      </controls>
    </mc:Choice>
  </mc:AlternateContent>
  <extLst>
    <ext xmlns:x14="http://schemas.microsoft.com/office/spreadsheetml/2009/9/main" uri="{A8765BA9-456A-4dab-B4F3-ACF838C121DE}">
      <x14:slicerList>
        <x14:slicer r:id="rId6"/>
      </x14:slicerList>
    </ext>
    <ext xmlns:x15="http://schemas.microsoft.com/office/spreadsheetml/2010/11/main" uri="{7E03D99C-DC04-49d9-9315-930204A7B6E9}">
      <x15:timelineRefs>
        <x15:timelineRef r:id="rId7"/>
      </x15:timelineRef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4787F8-DD4B-48D0-9A2D-B833E13A674F}">
  <sheetPr codeName="Sheet11"/>
  <dimension ref="A1:Z19"/>
  <sheetViews>
    <sheetView showGridLines="0" zoomScale="115" zoomScaleNormal="115" workbookViewId="0">
      <selection activeCell="A2" sqref="A2"/>
    </sheetView>
  </sheetViews>
  <sheetFormatPr defaultRowHeight="14.6" x14ac:dyDescent="0.4"/>
  <cols>
    <col min="1" max="1" width="30.84375" customWidth="1"/>
    <col min="2" max="13" width="45.3046875" customWidth="1"/>
    <col min="14" max="14" width="17.84375" customWidth="1"/>
    <col min="15" max="30" width="9.23046875" customWidth="1"/>
  </cols>
  <sheetData>
    <row r="1" spans="1:26" x14ac:dyDescent="0.4">
      <c r="A1" s="8" t="s">
        <v>379</v>
      </c>
    </row>
    <row r="2" spans="1:26" x14ac:dyDescent="0.4">
      <c r="A2" s="163"/>
    </row>
    <row r="3" spans="1:26" ht="15" thickBot="1" x14ac:dyDescent="0.45"/>
    <row r="4" spans="1:26" x14ac:dyDescent="0.4">
      <c r="A4" s="173" t="s">
        <v>3</v>
      </c>
    </row>
    <row r="5" spans="1:26" x14ac:dyDescent="0.4">
      <c r="A5" s="174" t="s">
        <v>4</v>
      </c>
    </row>
    <row r="6" spans="1:26" ht="16.3" thickBot="1" x14ac:dyDescent="0.5">
      <c r="A6" s="175" t="s">
        <v>5</v>
      </c>
    </row>
    <row r="7" spans="1:26" x14ac:dyDescent="0.4">
      <c r="A7" s="176" t="s">
        <v>377</v>
      </c>
    </row>
    <row r="8" spans="1:26" x14ac:dyDescent="0.4">
      <c r="A8" s="177" t="s">
        <v>373</v>
      </c>
    </row>
    <row r="9" spans="1:26" x14ac:dyDescent="0.4">
      <c r="A9" s="178" t="s">
        <v>374</v>
      </c>
    </row>
    <row r="10" spans="1:26" ht="15" thickBot="1" x14ac:dyDescent="0.45">
      <c r="A10" s="179" t="s">
        <v>375</v>
      </c>
      <c r="P10" s="165"/>
      <c r="Q10" s="165"/>
      <c r="R10" s="165"/>
      <c r="S10" s="165"/>
      <c r="T10" s="165"/>
      <c r="U10" s="165"/>
      <c r="V10" s="165"/>
      <c r="W10" s="165"/>
      <c r="X10" s="165"/>
      <c r="Y10" s="165"/>
      <c r="Z10" s="165"/>
    </row>
    <row r="11" spans="1:26" x14ac:dyDescent="0.4">
      <c r="A11" s="180" t="s">
        <v>15</v>
      </c>
    </row>
    <row r="12" spans="1:26" ht="15" thickBot="1" x14ac:dyDescent="0.45">
      <c r="A12" s="181" t="s">
        <v>211</v>
      </c>
    </row>
    <row r="13" spans="1:26" ht="15" thickBot="1" x14ac:dyDescent="0.45">
      <c r="A13" s="182" t="s">
        <v>85</v>
      </c>
      <c r="P13" s="165"/>
      <c r="Q13" s="165"/>
      <c r="R13" s="165"/>
      <c r="S13" s="165"/>
      <c r="T13" s="165"/>
      <c r="U13" s="165"/>
      <c r="V13" s="165"/>
      <c r="W13" s="165"/>
      <c r="X13" s="165"/>
      <c r="Y13" s="165"/>
      <c r="Z13" s="165"/>
    </row>
    <row r="14" spans="1:26" x14ac:dyDescent="0.4">
      <c r="A14" s="182" t="s">
        <v>209</v>
      </c>
    </row>
    <row r="15" spans="1:26" x14ac:dyDescent="0.4">
      <c r="A15" s="183" t="s">
        <v>380</v>
      </c>
    </row>
    <row r="16" spans="1:26" ht="15" thickBot="1" x14ac:dyDescent="0.45">
      <c r="A16" s="184" t="s">
        <v>376</v>
      </c>
    </row>
    <row r="17" spans="1:12" ht="15" thickBot="1" x14ac:dyDescent="0.45">
      <c r="A17" s="185" t="s">
        <v>387</v>
      </c>
    </row>
    <row r="18" spans="1:12" x14ac:dyDescent="0.4">
      <c r="A18" s="185" t="s">
        <v>381</v>
      </c>
      <c r="L18" s="164"/>
    </row>
    <row r="19" spans="1:12" ht="15" thickBot="1" x14ac:dyDescent="0.45">
      <c r="A19" s="186" t="s">
        <v>378</v>
      </c>
    </row>
  </sheetData>
  <sheetProtection sheet="1" objects="1" scenarios="1" formatCells="0" formatColumns="0" formatRows="0" insertColumns="0" insertRows="0" insertHyperlinks="0"/>
  <protectedRanges>
    <protectedRange sqref="B1:U1048576" name="Range2"/>
    <protectedRange sqref="A2" name="Range1"/>
  </protectedRanges>
  <conditionalFormatting sqref="A7">
    <cfRule type="dataBar" priority="1">
      <dataBar>
        <cfvo type="num" val="0"/>
        <cfvo type="num" val="1"/>
        <color rgb="FF00B050"/>
      </dataBar>
      <extLst>
        <ext xmlns:x14="http://schemas.microsoft.com/office/spreadsheetml/2009/9/main" uri="{B025F937-C7B1-47D3-B67F-A62EFF666E3E}">
          <x14:id>{845EEC47-2456-4281-8821-C01401929C06}</x14:id>
        </ext>
      </extLst>
    </cfRule>
  </conditionalFormatting>
  <dataValidations count="1">
    <dataValidation type="list" allowBlank="1" showInputMessage="1" showErrorMessage="1" sqref="A2" xr:uid="{899465E8-47AB-4A36-9B2D-03C456992B72}">
      <formula1>CRPartyName_ID</formula1>
    </dataValidation>
  </dataValidations>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dataBar" id="{845EEC47-2456-4281-8821-C01401929C06}">
            <x14:dataBar minLength="0" maxLength="100" gradient="0" negativeBarColorSameAsPositive="1" axisPosition="none">
              <x14:cfvo type="num">
                <xm:f>0</xm:f>
              </x14:cfvo>
              <x14:cfvo type="num">
                <xm:f>1</xm:f>
              </x14:cfvo>
            </x14:dataBar>
          </x14:cfRule>
          <xm:sqref>A7</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4DD216-D68E-449C-A1D7-71A2EAA02EDB}">
  <sheetPr codeName="Sheet6"/>
  <dimension ref="A1:K27"/>
  <sheetViews>
    <sheetView showGridLines="0" zoomScale="130" zoomScaleNormal="130" workbookViewId="0">
      <selection activeCell="B12" sqref="B12:C12"/>
    </sheetView>
  </sheetViews>
  <sheetFormatPr defaultRowHeight="14.6" x14ac:dyDescent="0.4"/>
  <cols>
    <col min="1" max="1" width="28.3046875" bestFit="1" customWidth="1"/>
    <col min="3" max="3" width="15.69140625" style="52" customWidth="1"/>
    <col min="5" max="5" width="13.69140625" style="52" customWidth="1"/>
    <col min="7" max="7" width="13.53515625" style="52" bestFit="1" customWidth="1"/>
    <col min="8" max="8" width="14.53515625" bestFit="1" customWidth="1"/>
    <col min="9" max="9" width="10.84375" bestFit="1" customWidth="1"/>
    <col min="10" max="11" width="10.15234375" bestFit="1" customWidth="1"/>
  </cols>
  <sheetData>
    <row r="1" spans="1:11" s="66" customFormat="1" ht="15.9" x14ac:dyDescent="0.45">
      <c r="A1" s="66" t="s">
        <v>194</v>
      </c>
      <c r="C1" s="65"/>
      <c r="D1" s="67"/>
      <c r="E1" s="65"/>
      <c r="F1" s="67"/>
      <c r="G1" s="68"/>
    </row>
    <row r="2" spans="1:11" ht="15" thickBot="1" x14ac:dyDescent="0.45"/>
    <row r="3" spans="1:11" x14ac:dyDescent="0.4">
      <c r="B3" s="238" t="s">
        <v>17</v>
      </c>
      <c r="C3" s="239"/>
      <c r="D3" s="246" t="s">
        <v>35</v>
      </c>
      <c r="E3" s="239"/>
      <c r="F3" s="246" t="s">
        <v>342</v>
      </c>
      <c r="G3" s="247"/>
    </row>
    <row r="4" spans="1:11" ht="15" thickBot="1" x14ac:dyDescent="0.45">
      <c r="B4" s="132" t="s">
        <v>72</v>
      </c>
      <c r="C4" s="133" t="s">
        <v>73</v>
      </c>
      <c r="D4" s="131" t="s">
        <v>72</v>
      </c>
      <c r="E4" s="133" t="s">
        <v>73</v>
      </c>
      <c r="F4" s="131" t="s">
        <v>72</v>
      </c>
      <c r="G4" s="134" t="s">
        <v>73</v>
      </c>
    </row>
    <row r="5" spans="1:11" x14ac:dyDescent="0.4">
      <c r="A5" s="135" t="s">
        <v>74</v>
      </c>
      <c r="B5" s="135" cm="1">
        <f t="array" ref="B5">IF(Input_region&lt;&gt;"DISTI",IFERROR(
    _xlfn.LET(
        _xlpm.combinedCondition, (Data[PVI Eligible]=TRUE) *
                           (Data[Deal CPI Portfolio]=B3),
        _xlpm.filteredCRPartyIDs, _xlfn._xlws.FILTER(Data[CRPartyID-Offer], _xlpm.combinedCondition),
        _xlpm.uniqueIDs, _xlfn.UNIQUE(_xlpm.filteredCRPartyIDs),
        ROWS(_xlpm.uniqueIDs)
    ),
    0
),"N/A")</f>
        <v>0</v>
      </c>
      <c r="C5" s="78" cm="1">
        <f t="array" ref="C5">IF(Input_region&lt;&gt;"DISTI",IFERROR(
    _xlfn.LET(
        _xlpm.combinedCondition, (Data[PVI Eligible]=TRUE) *
                           (Data[Deal CPI Portfolio]=B3),
        _xlpm.filteredAmounts, _xlfn._xlws.FILTER(Data[Booking Amount - Net to Cisco], _xlpm.combinedCondition),
        SUM(_xlpm.filteredAmounts)
    ),
    0
),"N/A")</f>
        <v>0</v>
      </c>
      <c r="D5" s="77" cm="1">
        <f t="array" ref="D5">IF(Input_region&lt;&gt;"DISTI",IFERROR(
    _xlfn.LET(
        _xlpm.combinedCondition, (Data[PVI Eligible]=TRUE) *
                           (Data[Deal CPI Portfolio]=D3),
        _xlpm.filteredCRPartyIDs, _xlfn._xlws.FILTER(Data[CRPartyID-Offer], _xlpm.combinedCondition),
        _xlpm.uniqueIDs, _xlfn.UNIQUE(_xlpm.filteredCRPartyIDs),
        ROWS(_xlpm.uniqueIDs)
    ),
    0
),"N/A")</f>
        <v>0</v>
      </c>
      <c r="E5" s="78" cm="1">
        <f t="array" ref="E5">IF(Input_region&lt;&gt;"DISTI",IFERROR(
    _xlfn.LET(
        _xlpm.combinedCondition, (Data[PVI Eligible]=TRUE) *
                           (Data[Deal CPI Portfolio]=D3),
        _xlpm.filteredAmounts, _xlfn._xlws.FILTER(Data[Booking Amount - Net to Cisco], _xlpm.combinedCondition),
        SUM(_xlpm.filteredAmounts)
    ),
    0
),"N/A")</f>
        <v>0</v>
      </c>
      <c r="F5" s="77" cm="1">
        <f t="array" ref="F5">IF(Input_region&lt;&gt;"DISTI",IFERROR(
    _xlfn.LET(
        _xlpm.combinedCondition, (Data[PVI Eligible]=TRUE) *
                           (Data[Deal CPI Portfolio]=F3),
        _xlpm.filteredCRPartyIDs, _xlfn._xlws.FILTER(Data[CRPartyID-Offer], _xlpm.combinedCondition),
        _xlpm.uniqueIDs, _xlfn.UNIQUE(_xlpm.filteredCRPartyIDs),
        ROWS(_xlpm.uniqueIDs)
    ),
    0
),"N/A")</f>
        <v>0</v>
      </c>
      <c r="G5" s="137" cm="1">
        <f t="array" ref="G5">IF(Input_region&lt;&gt;"DISTI",IFERROR(
    _xlfn.LET(
        _xlpm.combinedCondition, (Data[PVI Eligible]=TRUE) *
                           (Data[Deal CPI Portfolio]=F3),
        _xlpm.filteredAmounts, _xlfn._xlws.FILTER(Data[Booking Amount - Net to Cisco], _xlpm.combinedCondition),
        SUM(_xlpm.filteredAmounts)
    ),
    0
),"N/A")</f>
        <v>0</v>
      </c>
      <c r="H5" s="52"/>
      <c r="I5" s="62"/>
      <c r="J5" s="62"/>
    </row>
    <row r="6" spans="1:11" x14ac:dyDescent="0.4">
      <c r="A6" s="120" t="s">
        <v>197</v>
      </c>
      <c r="B6" s="120" cm="1">
        <f t="array" ref="B6">IF(Input_region&lt;&gt;"DISTI",IFERROR(
    _xlfn.LET(
        _xlpm.combinedCondition, (Data[PVI Onboard]=TRUE) *
                           (Data[Deal CPI Portfolio]=B3),
        SUM(_xlpm.combinedCondition)
    ),
    0
),"N/A")</f>
        <v>0</v>
      </c>
      <c r="C6" s="57" cm="1">
        <f t="array" ref="C6">IF(Input_region&lt;&gt;"DISTI",IFERROR(
    _xlfn.LET(
        _xlpm.combinedCondition, (Data[PVI Onboard]=TRUE) *
                           (Data[Deal CPI Portfolio]=B3),
        _xlpm.filteredAmounts, _xlfn._xlws.FILTER(Data[Booking Amount - Net to Cisco], _xlpm.combinedCondition),
        SUM(_xlpm.filteredAmounts)
    ),
    0
),"N/A")</f>
        <v>0</v>
      </c>
      <c r="D6" s="56" cm="1">
        <f t="array" ref="D6">IF(Input_region&lt;&gt;"DISTI",IFERROR(
    _xlfn.LET(
        _xlpm.combinedCondition, (Data[PVI Onboard]=TRUE) *
                           (Data[Deal CPI Portfolio]=D3),
        SUM(_xlpm.combinedCondition)
    ),
    0
),"N/A")</f>
        <v>0</v>
      </c>
      <c r="E6" s="57" cm="1">
        <f t="array" ref="E6">IF(Input_region&lt;&gt;"DISTI",IFERROR(
    _xlfn.LET(
        _xlpm.combinedCondition, (Data[PVI Onboard]=TRUE) *
                           (Data[Deal CPI Portfolio]=D3),
        _xlpm.filteredAmounts, _xlfn._xlws.FILTER(Data[Booking Amount - Net to Cisco], _xlpm.combinedCondition),
        SUM(_xlpm.filteredAmounts)
    ),
    0
),"N/A")</f>
        <v>0</v>
      </c>
      <c r="F6" s="56" cm="1">
        <f t="array" ref="F6">IF(Input_region&lt;&gt;"DISTI",IFERROR(
    _xlfn.LET(
        _xlpm.combinedCondition, (Data[PVI Onboard]=TRUE) *
                           (Data[Deal CPI Portfolio]=F3),
        SUM(_xlpm.combinedCondition)
    ),
    0
),"N/A")</f>
        <v>0</v>
      </c>
      <c r="G6" s="138" cm="1">
        <f t="array" ref="G6">IF(Input_region&lt;&gt;"DISTI",IFERROR(
    _xlfn.LET(
        _xlpm.combinedCondition, (Data[PVI Onboard]=TRUE) *
                           (Data[Deal CPI Portfolio]=F3),
        _xlpm.filteredAmounts, _xlfn._xlws.FILTER(Data[Booking Amount - Net to Cisco], _xlpm.combinedCondition),
        SUM(_xlpm.filteredAmounts)
    ),
    0
),"N/A")</f>
        <v>0</v>
      </c>
      <c r="H6" s="52"/>
    </row>
    <row r="7" spans="1:11" s="101" customFormat="1" ht="12" x14ac:dyDescent="0.35">
      <c r="A7" s="144" t="s">
        <v>199</v>
      </c>
      <c r="B7" s="240">
        <f>IFERROR(C6/C5,0)</f>
        <v>0</v>
      </c>
      <c r="C7" s="241"/>
      <c r="D7" s="242">
        <f>IFERROR(E6/E5,0)</f>
        <v>0</v>
      </c>
      <c r="E7" s="241"/>
      <c r="F7" s="242">
        <f>IFERROR(G6/G5,0)</f>
        <v>0</v>
      </c>
      <c r="G7" s="243"/>
      <c r="H7" s="145"/>
    </row>
    <row r="8" spans="1:11" s="101" customFormat="1" ht="14.6" customHeight="1" x14ac:dyDescent="0.35">
      <c r="A8" s="143" t="s">
        <v>76</v>
      </c>
      <c r="B8" s="249">
        <f>IF(ISNUMBER(B5),_xlfn.XLOOKUP(B7, Net_onboard_perc, Net_Onboard_score,10, 1, 1))</f>
        <v>2</v>
      </c>
      <c r="C8" s="248"/>
      <c r="D8" s="244">
        <f>IF(ISNUMBER(D5),_xlfn.XLOOKUP(D7, Net_onboard_perc, Net_Onboard_score,10, 1, 1))</f>
        <v>2</v>
      </c>
      <c r="E8" s="248"/>
      <c r="F8" s="244">
        <f>IF(ISNUMBER(F5),_xlfn.XLOOKUP(F7, Net_onboard_perc, Net_Onboard_score,10, 1, 1))</f>
        <v>2</v>
      </c>
      <c r="G8" s="245"/>
    </row>
    <row r="9" spans="1:11" x14ac:dyDescent="0.4">
      <c r="A9" s="120" t="s">
        <v>75</v>
      </c>
      <c r="B9" s="139" cm="1">
        <f t="array" ref="B9">IF(Input_region&lt;&gt;"DISTI",IFERROR(
    _xlfn.LET(
        _xlpm.combinedCondition, (Data[PVI Adopt]=TRUE) *
                           (Data[Deal CPI Portfolio]=B3),
        SUM(_xlpm.combinedCondition)
    ),
    0
),"N/A")</f>
        <v>0</v>
      </c>
      <c r="C9" s="59" cm="1">
        <f t="array" ref="C9">IF(Input_region&lt;&gt;"DISTI",IFERROR(
    _xlfn.LET(
        _xlpm.combinedCondition, (Data[PVI Adopt]=TRUE) *
                           (Data[Deal CPI Portfolio]=B3),
        _xlpm.filteredAmounts, _xlfn._xlws.FILTER(Data[Booking Amount - Net to Cisco], _xlpm.combinedCondition),
        SUM(_xlpm.filteredAmounts)
    ),
    0
),"N/A")</f>
        <v>0</v>
      </c>
      <c r="D9" s="58" cm="1">
        <f t="array" ref="D9">IF(Input_region&lt;&gt;"DISTI",IFERROR(
    _xlfn.LET(
        _xlpm.combinedCondition, (Data[PVI Adopt]=TRUE) *
                           (Data[Deal CPI Portfolio]=D3),
        SUM(_xlpm.combinedCondition)
    ),
    0
),"N/A")</f>
        <v>0</v>
      </c>
      <c r="E9" s="59" cm="1">
        <f t="array" ref="E9">IF(Input_region&lt;&gt;"DISTI",IFERROR(
    _xlfn.LET(
        _xlpm.combinedCondition, (Data[PVI Adopt]=TRUE) *
                           (Data[Deal CPI Portfolio]=D3),
        _xlpm.filteredAmounts, _xlfn._xlws.FILTER(Data[Booking Amount - Net to Cisco], _xlpm.combinedCondition),
        SUM(_xlpm.filteredAmounts)
    ),
    0
),"N/A")</f>
        <v>0</v>
      </c>
      <c r="F9" s="58" cm="1">
        <f t="array" ref="F9">IF(Input_region&lt;&gt;"DISTI",IFERROR(
    _xlfn.LET(
        _xlpm.combinedCondition, (Data[PVI Adopt]=TRUE) *
                           (Data[Deal CPI Portfolio]=F3),
        SUM(_xlpm.combinedCondition)
    ),
    0
),"N/A")</f>
        <v>0</v>
      </c>
      <c r="G9" s="140" cm="1">
        <f t="array" ref="G9">IF(Input_region&lt;&gt;"DISTI",IFERROR(
    _xlfn.LET(
        _xlpm.combinedCondition, (Data[PVI Adopt]=TRUE) *
                           (Data[Deal CPI Portfolio]=F3),
        _xlpm.filteredAmounts, _xlfn._xlws.FILTER(Data[Booking Amount - Net to Cisco], _xlpm.combinedCondition),
        SUM(_xlpm.filteredAmounts)
    ),
    0
),"N/A")</f>
        <v>0</v>
      </c>
      <c r="H9" s="52"/>
    </row>
    <row r="10" spans="1:11" s="101" customFormat="1" ht="12" x14ac:dyDescent="0.35">
      <c r="A10" s="144" t="s">
        <v>200</v>
      </c>
      <c r="B10" s="240">
        <f>IFERROR(C9/C5,0)</f>
        <v>0</v>
      </c>
      <c r="C10" s="241"/>
      <c r="D10" s="242">
        <f>IFERROR(E9/E5,0)</f>
        <v>0</v>
      </c>
      <c r="E10" s="241"/>
      <c r="F10" s="242">
        <f>IFERROR(G9/G5,0)</f>
        <v>0</v>
      </c>
      <c r="G10" s="243"/>
      <c r="K10" s="146"/>
    </row>
    <row r="11" spans="1:11" s="101" customFormat="1" ht="12" x14ac:dyDescent="0.35">
      <c r="A11" s="143" t="s">
        <v>77</v>
      </c>
      <c r="B11" s="249">
        <f>IF(ISNUMBER(B5),_xlfn.XLOOKUP(B10, Net_adopt_perc, Net_Adopt_score,10, 1, 1))</f>
        <v>5</v>
      </c>
      <c r="C11" s="248"/>
      <c r="D11" s="244">
        <f>IF(ISNUMBER(D5),_xlfn.XLOOKUP(D10, Net_adopt_perc, Net_Adopt_score,10, 1, 1))</f>
        <v>5</v>
      </c>
      <c r="E11" s="248"/>
      <c r="F11" s="244">
        <f>IF(ISNUMBER(F5),_xlfn.XLOOKUP(F10, Net_adopt_perc, Net_Adopt_score,10, 1, 1))</f>
        <v>5</v>
      </c>
      <c r="G11" s="245"/>
    </row>
    <row r="12" spans="1:11" ht="15" thickBot="1" x14ac:dyDescent="0.45">
      <c r="A12" s="136" t="s">
        <v>78</v>
      </c>
      <c r="B12" s="260">
        <f>(B8+B11)/2</f>
        <v>3.5</v>
      </c>
      <c r="C12" s="256"/>
      <c r="D12" s="255">
        <f>(D8+D11)/2</f>
        <v>3.5</v>
      </c>
      <c r="E12" s="256"/>
      <c r="F12" s="255">
        <f>(F8+F11)/2</f>
        <v>3.5</v>
      </c>
      <c r="G12" s="259"/>
    </row>
    <row r="13" spans="1:11" ht="15" thickBot="1" x14ac:dyDescent="0.45"/>
    <row r="14" spans="1:11" x14ac:dyDescent="0.4">
      <c r="A14" s="148" t="s">
        <v>334</v>
      </c>
      <c r="B14" s="253" t="s">
        <v>17</v>
      </c>
      <c r="C14" s="254"/>
      <c r="D14" s="257" t="s">
        <v>35</v>
      </c>
      <c r="E14" s="254"/>
      <c r="F14" s="257" t="s">
        <v>342</v>
      </c>
      <c r="G14" s="258"/>
    </row>
    <row r="15" spans="1:11" x14ac:dyDescent="0.4">
      <c r="A15" s="149" t="s">
        <v>332</v>
      </c>
      <c r="B15" s="160"/>
      <c r="C15" s="154">
        <f>target_onboard_net*C5/100</f>
        <v>0</v>
      </c>
      <c r="D15" s="156"/>
      <c r="E15" s="154">
        <f>target_onboard_sec*E5/100</f>
        <v>0</v>
      </c>
      <c r="F15" s="156"/>
      <c r="G15" s="161">
        <f>target_onboard_cloud*G5/100</f>
        <v>0</v>
      </c>
    </row>
    <row r="16" spans="1:11" s="101" customFormat="1" ht="12" x14ac:dyDescent="0.35">
      <c r="A16" s="150" t="s">
        <v>76</v>
      </c>
      <c r="B16" s="153"/>
      <c r="C16" s="155" t="str">
        <f>IFERROR(_xlfn.XLOOKUP(C15/C5, Net_onboard_perc, Net_Onboard_score,10, 1, 1),"")</f>
        <v/>
      </c>
      <c r="D16" s="157"/>
      <c r="E16" s="155" t="str">
        <f>IFERROR(_xlfn.XLOOKUP(E15/E5, Sec_onboard_perc, Sec_onboard_score,10, 1, 1),"")</f>
        <v/>
      </c>
      <c r="F16" s="157"/>
      <c r="G16" s="147" t="str">
        <f>IFERROR(_xlfn.XLOOKUP(G15/G5, Cloud_onboard_perc, Cloud_onboard_score,10, 1, 1),"")</f>
        <v/>
      </c>
    </row>
    <row r="17" spans="1:7" x14ac:dyDescent="0.4">
      <c r="A17" s="151" t="s">
        <v>333</v>
      </c>
      <c r="B17" s="160"/>
      <c r="C17" s="154">
        <f>target_adopt_net*C5/100</f>
        <v>0</v>
      </c>
      <c r="D17" s="159"/>
      <c r="E17" s="154">
        <f>target_adopt_sec*E5/100</f>
        <v>0</v>
      </c>
      <c r="F17" s="156"/>
      <c r="G17" s="161">
        <f>target_adopt_cloud*G5/100</f>
        <v>0</v>
      </c>
    </row>
    <row r="18" spans="1:7" s="101" customFormat="1" ht="12" x14ac:dyDescent="0.35">
      <c r="A18" s="150" t="s">
        <v>77</v>
      </c>
      <c r="B18" s="153"/>
      <c r="C18" s="155" t="str">
        <f>IFERROR(_xlfn.XLOOKUP(C17/C5, Net_adopt_perc, Net_Adopt_score,10, 1, 1),"")</f>
        <v/>
      </c>
      <c r="D18" s="157"/>
      <c r="E18" s="155" t="str">
        <f>IFERROR(_xlfn.XLOOKUP(E17/E5, Sec_adopt_perc, Sec_adopt_score,10, 1, 1),"")</f>
        <v/>
      </c>
      <c r="F18" s="158"/>
      <c r="G18" s="147" t="str">
        <f>IFERROR(_xlfn.XLOOKUP(G17/G5,Cloud_adopt_perc,Cloud_adopt_score,10,1,1),"")</f>
        <v/>
      </c>
    </row>
    <row r="19" spans="1:7" ht="15" thickBot="1" x14ac:dyDescent="0.45">
      <c r="A19" s="152" t="s">
        <v>78</v>
      </c>
      <c r="B19" s="250" t="str">
        <f>IFERROR((C16+C18)/2,"")</f>
        <v/>
      </c>
      <c r="C19" s="252"/>
      <c r="D19" s="250" t="str">
        <f>IFERROR((E16+E18)/2,"")</f>
        <v/>
      </c>
      <c r="E19" s="252"/>
      <c r="F19" s="250" t="str">
        <f>IFERROR((G16+G18)/2,"")</f>
        <v/>
      </c>
      <c r="G19" s="251"/>
    </row>
    <row r="20" spans="1:7" x14ac:dyDescent="0.4">
      <c r="A20" s="8"/>
      <c r="C20" s="141"/>
      <c r="E20" s="141"/>
      <c r="G20" s="141"/>
    </row>
    <row r="21" spans="1:7" x14ac:dyDescent="0.4">
      <c r="A21" s="9" t="s">
        <v>335</v>
      </c>
    </row>
    <row r="22" spans="1:7" x14ac:dyDescent="0.4">
      <c r="A22" s="9" t="s">
        <v>336</v>
      </c>
    </row>
    <row r="23" spans="1:7" x14ac:dyDescent="0.4">
      <c r="A23" s="142" t="s">
        <v>337</v>
      </c>
    </row>
    <row r="24" spans="1:7" x14ac:dyDescent="0.4">
      <c r="A24" s="142" t="s">
        <v>338</v>
      </c>
    </row>
    <row r="25" spans="1:7" x14ac:dyDescent="0.4">
      <c r="A25" s="142" t="s">
        <v>339</v>
      </c>
    </row>
    <row r="26" spans="1:7" x14ac:dyDescent="0.4">
      <c r="A26" s="142"/>
    </row>
    <row r="27" spans="1:7" s="8" customFormat="1" x14ac:dyDescent="0.4">
      <c r="A27" s="8" t="s">
        <v>79</v>
      </c>
      <c r="C27" s="70"/>
      <c r="E27" s="73" t="s">
        <v>80</v>
      </c>
      <c r="G27" s="70"/>
    </row>
  </sheetData>
  <sheetProtection sheet="1" objects="1" scenarios="1"/>
  <mergeCells count="24">
    <mergeCell ref="F11:G11"/>
    <mergeCell ref="F19:G19"/>
    <mergeCell ref="D19:E19"/>
    <mergeCell ref="B19:C19"/>
    <mergeCell ref="B14:C14"/>
    <mergeCell ref="D12:E12"/>
    <mergeCell ref="D11:E11"/>
    <mergeCell ref="D14:E14"/>
    <mergeCell ref="F14:G14"/>
    <mergeCell ref="F12:G12"/>
    <mergeCell ref="B12:C12"/>
    <mergeCell ref="B11:C11"/>
    <mergeCell ref="B3:C3"/>
    <mergeCell ref="B7:C7"/>
    <mergeCell ref="D10:E10"/>
    <mergeCell ref="F10:G10"/>
    <mergeCell ref="F8:G8"/>
    <mergeCell ref="D3:E3"/>
    <mergeCell ref="F3:G3"/>
    <mergeCell ref="D7:E7"/>
    <mergeCell ref="F7:G7"/>
    <mergeCell ref="D8:E8"/>
    <mergeCell ref="B8:C8"/>
    <mergeCell ref="B10:C10"/>
  </mergeCells>
  <hyperlinks>
    <hyperlink ref="E27" r:id="rId1" xr:uid="{1AC101CE-8A79-45C4-9E2C-E38AE2F4AE1B}"/>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0248" r:id="rId4" name="Spinner 8">
              <controlPr defaultSize="0" autoPict="0">
                <anchor>
                  <from>
                    <xdr:col>1</xdr:col>
                    <xdr:colOff>54429</xdr:colOff>
                    <xdr:row>16</xdr:row>
                    <xdr:rowOff>32657</xdr:rowOff>
                  </from>
                  <to>
                    <xdr:col>1</xdr:col>
                    <xdr:colOff>625929</xdr:colOff>
                    <xdr:row>17</xdr:row>
                    <xdr:rowOff>81643</xdr:rowOff>
                  </to>
                </anchor>
              </controlPr>
            </control>
          </mc:Choice>
        </mc:AlternateContent>
        <mc:AlternateContent xmlns:mc="http://schemas.openxmlformats.org/markup-compatibility/2006">
          <mc:Choice Requires="x14">
            <control shapeId="10249" r:id="rId5" name="Spinner 9">
              <controlPr defaultSize="0" autoPict="0">
                <anchor>
                  <from>
                    <xdr:col>1</xdr:col>
                    <xdr:colOff>54429</xdr:colOff>
                    <xdr:row>14</xdr:row>
                    <xdr:rowOff>54429</xdr:rowOff>
                  </from>
                  <to>
                    <xdr:col>1</xdr:col>
                    <xdr:colOff>625929</xdr:colOff>
                    <xdr:row>15</xdr:row>
                    <xdr:rowOff>97971</xdr:rowOff>
                  </to>
                </anchor>
              </controlPr>
            </control>
          </mc:Choice>
        </mc:AlternateContent>
        <mc:AlternateContent xmlns:mc="http://schemas.openxmlformats.org/markup-compatibility/2006">
          <mc:Choice Requires="x14">
            <control shapeId="10250" r:id="rId6" name="Spinner 10">
              <controlPr defaultSize="0" autoPict="0">
                <anchor>
                  <from>
                    <xdr:col>3</xdr:col>
                    <xdr:colOff>38100</xdr:colOff>
                    <xdr:row>16</xdr:row>
                    <xdr:rowOff>43543</xdr:rowOff>
                  </from>
                  <to>
                    <xdr:col>3</xdr:col>
                    <xdr:colOff>620486</xdr:colOff>
                    <xdr:row>17</xdr:row>
                    <xdr:rowOff>92529</xdr:rowOff>
                  </to>
                </anchor>
              </controlPr>
            </control>
          </mc:Choice>
        </mc:AlternateContent>
        <mc:AlternateContent xmlns:mc="http://schemas.openxmlformats.org/markup-compatibility/2006">
          <mc:Choice Requires="x14">
            <control shapeId="10251" r:id="rId7" name="Spinner 11">
              <controlPr defaultSize="0" autoPict="0">
                <anchor>
                  <from>
                    <xdr:col>3</xdr:col>
                    <xdr:colOff>38100</xdr:colOff>
                    <xdr:row>14</xdr:row>
                    <xdr:rowOff>65314</xdr:rowOff>
                  </from>
                  <to>
                    <xdr:col>3</xdr:col>
                    <xdr:colOff>620486</xdr:colOff>
                    <xdr:row>15</xdr:row>
                    <xdr:rowOff>103414</xdr:rowOff>
                  </to>
                </anchor>
              </controlPr>
            </control>
          </mc:Choice>
        </mc:AlternateContent>
        <mc:AlternateContent xmlns:mc="http://schemas.openxmlformats.org/markup-compatibility/2006">
          <mc:Choice Requires="x14">
            <control shapeId="10253" r:id="rId8" name="Spinner 13">
              <controlPr defaultSize="0" autoPict="0">
                <anchor>
                  <from>
                    <xdr:col>5</xdr:col>
                    <xdr:colOff>38100</xdr:colOff>
                    <xdr:row>16</xdr:row>
                    <xdr:rowOff>38100</xdr:rowOff>
                  </from>
                  <to>
                    <xdr:col>5</xdr:col>
                    <xdr:colOff>625929</xdr:colOff>
                    <xdr:row>17</xdr:row>
                    <xdr:rowOff>97971</xdr:rowOff>
                  </to>
                </anchor>
              </controlPr>
            </control>
          </mc:Choice>
        </mc:AlternateContent>
        <mc:AlternateContent xmlns:mc="http://schemas.openxmlformats.org/markup-compatibility/2006">
          <mc:Choice Requires="x14">
            <control shapeId="10254" r:id="rId9" name="Spinner 14">
              <controlPr defaultSize="0" autoPict="0">
                <anchor>
                  <from>
                    <xdr:col>5</xdr:col>
                    <xdr:colOff>38100</xdr:colOff>
                    <xdr:row>14</xdr:row>
                    <xdr:rowOff>59871</xdr:rowOff>
                  </from>
                  <to>
                    <xdr:col>5</xdr:col>
                    <xdr:colOff>620486</xdr:colOff>
                    <xdr:row>15</xdr:row>
                    <xdr:rowOff>97971</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529BE1-2878-4B15-8BF5-776C924D29ED}">
  <sheetPr codeName="Sheet9"/>
  <dimension ref="A1:A2"/>
  <sheetViews>
    <sheetView showGridLines="0" zoomScale="85" zoomScaleNormal="85" workbookViewId="0">
      <selection activeCell="AA14" sqref="AA14"/>
    </sheetView>
  </sheetViews>
  <sheetFormatPr defaultRowHeight="14.6" x14ac:dyDescent="0.4"/>
  <sheetData>
    <row r="1" spans="1:1" x14ac:dyDescent="0.4">
      <c r="A1" s="8" t="s">
        <v>251</v>
      </c>
    </row>
    <row r="2" spans="1:1" x14ac:dyDescent="0.4">
      <c r="A2" t="s">
        <v>215</v>
      </c>
    </row>
  </sheetData>
  <sheetProtection sheet="1" objects="1" scenarios="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42CA5-C975-4653-AC2B-BFD66A65B325}">
  <sheetPr codeName="Sheet10"/>
  <dimension ref="A1:K7"/>
  <sheetViews>
    <sheetView showGridLines="0" zoomScale="85" zoomScaleNormal="85" workbookViewId="0">
      <selection activeCell="AC45" sqref="AC45"/>
    </sheetView>
  </sheetViews>
  <sheetFormatPr defaultRowHeight="14.6" x14ac:dyDescent="0.4"/>
  <cols>
    <col min="1" max="1" width="22.3046875" customWidth="1"/>
    <col min="2" max="2" width="23.84375" customWidth="1"/>
    <col min="3" max="3" width="17.61328125" customWidth="1"/>
    <col min="4" max="5" width="14.53515625" bestFit="1" customWidth="1"/>
    <col min="6" max="6" width="12.15234375" bestFit="1" customWidth="1"/>
    <col min="9" max="9" width="17.3828125" customWidth="1"/>
    <col min="10" max="10" width="30.53515625" customWidth="1"/>
  </cols>
  <sheetData>
    <row r="1" spans="1:11" x14ac:dyDescent="0.4">
      <c r="A1" s="8" t="s">
        <v>250</v>
      </c>
    </row>
    <row r="2" spans="1:11" x14ac:dyDescent="0.4">
      <c r="A2" s="79" t="s">
        <v>259</v>
      </c>
    </row>
    <row r="3" spans="1:11" x14ac:dyDescent="0.4">
      <c r="A3" s="79" t="s">
        <v>256</v>
      </c>
    </row>
    <row r="4" spans="1:11" x14ac:dyDescent="0.4">
      <c r="A4" s="79"/>
    </row>
    <row r="6" spans="1:11" s="84" customFormat="1" ht="20.6" x14ac:dyDescent="0.55000000000000004"/>
    <row r="7" spans="1:11" ht="20.6" x14ac:dyDescent="0.55000000000000004">
      <c r="B7" s="85" t="s">
        <v>224</v>
      </c>
      <c r="C7" s="261" t="s">
        <v>17</v>
      </c>
      <c r="D7" s="261"/>
      <c r="I7" s="85" t="s">
        <v>225</v>
      </c>
      <c r="J7" s="261" t="s">
        <v>18</v>
      </c>
      <c r="K7" s="261"/>
    </row>
  </sheetData>
  <protectedRanges>
    <protectedRange sqref="C7 J7:K7" name="Range1"/>
  </protectedRanges>
  <mergeCells count="2">
    <mergeCell ref="J7:K7"/>
    <mergeCell ref="C7:D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5601" r:id="rId3" name="LogScale">
              <controlPr defaultSize="0" print="0" autoFill="0" autoPict="0" macro="[0]!ToggleLogScale">
                <anchor moveWithCells="1">
                  <from>
                    <xdr:col>22</xdr:col>
                    <xdr:colOff>435429</xdr:colOff>
                    <xdr:row>5</xdr:row>
                    <xdr:rowOff>190500</xdr:rowOff>
                  </from>
                  <to>
                    <xdr:col>23</xdr:col>
                    <xdr:colOff>283029</xdr:colOff>
                    <xdr:row>7</xdr:row>
                    <xdr:rowOff>125186</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63C09960-5BBB-4AC9-B61B-9CB842E75A01}">
          <x14:formula1>
            <xm:f>Ref!$AD$17:$AG$17</xm:f>
          </x14:formula1>
          <xm:sqref>C7</xm:sqref>
        </x14:dataValidation>
        <x14:dataValidation type="list" allowBlank="1" showInputMessage="1" showErrorMessage="1" xr:uid="{CC626566-B14D-448E-BCD5-4924AB4038D8}">
          <x14:formula1>
            <xm:f>Ref!$S$30:$S$36</xm:f>
          </x14:formula1>
          <xm:sqref>J7:K7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theme="2" tint="-9.9978637043366805E-2"/>
  </sheetPr>
  <dimension ref="A1:BD2"/>
  <sheetViews>
    <sheetView zoomScale="115" zoomScaleNormal="115" workbookViewId="0">
      <selection activeCell="G1632" sqref="G1632"/>
    </sheetView>
  </sheetViews>
  <sheetFormatPr defaultColWidth="8.84375" defaultRowHeight="14.6" x14ac:dyDescent="0.4"/>
  <cols>
    <col min="1" max="1" width="16.3046875" style="1" customWidth="1"/>
    <col min="2" max="2" width="12.15234375" style="1" customWidth="1"/>
    <col min="3" max="3" width="9.15234375" style="1" customWidth="1"/>
    <col min="4" max="4" width="12.3046875" style="1" customWidth="1"/>
    <col min="5" max="5" width="14.84375" style="1" customWidth="1"/>
    <col min="6" max="6" width="12.3046875" style="1" customWidth="1"/>
    <col min="7" max="7" width="20.15234375" style="1" customWidth="1"/>
    <col min="8" max="8" width="16.3046875" style="1" customWidth="1"/>
    <col min="9" max="9" width="18.3046875" style="1" customWidth="1"/>
    <col min="10" max="10" width="12.23046875" style="1" customWidth="1"/>
    <col min="11" max="11" width="11.69140625" style="1" customWidth="1"/>
    <col min="12" max="12" width="10.3046875" style="63" customWidth="1"/>
    <col min="13" max="13" width="16" style="63" customWidth="1"/>
    <col min="14" max="14" width="13.15234375" style="1" customWidth="1"/>
    <col min="15" max="15" width="25.84375" style="3" customWidth="1"/>
    <col min="16" max="16" width="8" style="1"/>
    <col min="17" max="17" width="14.15234375" style="3" customWidth="1"/>
    <col min="18" max="18" width="22.3828125" style="63" customWidth="1"/>
    <col min="19" max="19" width="29.3828125" style="2" customWidth="1"/>
    <col min="20" max="20" width="39.3046875" style="62" customWidth="1"/>
    <col min="21" max="21" width="11.84375" style="1" customWidth="1"/>
    <col min="22" max="22" width="11.921875" style="63" customWidth="1"/>
    <col min="23" max="23" width="46.15234375" style="1" customWidth="1"/>
    <col min="24" max="24" width="15.69140625" style="63" customWidth="1"/>
    <col min="25" max="25" width="9.3046875" style="1" customWidth="1"/>
    <col min="26" max="26" width="32.3828125" style="63" customWidth="1"/>
    <col min="27" max="27" width="42.3828125" customWidth="1"/>
    <col min="28" max="28" width="22.3828125" style="63" customWidth="1"/>
    <col min="29" max="29" width="19.3046875" style="3" customWidth="1"/>
    <col min="30" max="30" width="17.15234375" style="63" customWidth="1"/>
    <col min="31" max="31" width="15" style="1" customWidth="1"/>
    <col min="32" max="32" width="15.3828125" style="1" customWidth="1"/>
    <col min="33" max="33" width="9.3046875" style="1" customWidth="1"/>
    <col min="34" max="34" width="43.3828125" style="1" bestFit="1" customWidth="1"/>
  </cols>
  <sheetData>
    <row r="1" spans="1:56" x14ac:dyDescent="0.4">
      <c r="A1" t="s">
        <v>206</v>
      </c>
      <c r="B1" t="s">
        <v>120</v>
      </c>
      <c r="C1" t="s">
        <v>81</v>
      </c>
      <c r="D1" t="s">
        <v>121</v>
      </c>
      <c r="E1" t="s">
        <v>122</v>
      </c>
      <c r="F1" t="s">
        <v>64</v>
      </c>
      <c r="G1" t="s">
        <v>65</v>
      </c>
      <c r="H1" t="s">
        <v>207</v>
      </c>
      <c r="I1" t="s">
        <v>82</v>
      </c>
      <c r="J1" t="s">
        <v>83</v>
      </c>
      <c r="K1" t="s">
        <v>84</v>
      </c>
      <c r="L1" s="62" t="s">
        <v>68</v>
      </c>
      <c r="M1" s="62" t="s">
        <v>85</v>
      </c>
      <c r="N1" t="s">
        <v>86</v>
      </c>
      <c r="O1" t="s">
        <v>123</v>
      </c>
      <c r="P1" t="s">
        <v>87</v>
      </c>
      <c r="Q1" t="s">
        <v>208</v>
      </c>
      <c r="R1" s="62" t="s">
        <v>209</v>
      </c>
      <c r="S1" t="s">
        <v>88</v>
      </c>
      <c r="T1" s="62" t="s">
        <v>89</v>
      </c>
      <c r="U1" t="s">
        <v>90</v>
      </c>
      <c r="V1" s="62" t="s">
        <v>91</v>
      </c>
      <c r="W1" t="s">
        <v>92</v>
      </c>
      <c r="X1" s="62" t="s">
        <v>93</v>
      </c>
      <c r="Y1" t="s">
        <v>94</v>
      </c>
      <c r="Z1" s="62" t="s">
        <v>95</v>
      </c>
      <c r="AA1" t="s">
        <v>96</v>
      </c>
      <c r="AB1" s="62" t="s">
        <v>97</v>
      </c>
      <c r="AC1" t="s">
        <v>98</v>
      </c>
      <c r="AD1" s="62" t="s">
        <v>99</v>
      </c>
      <c r="AE1" t="s">
        <v>100</v>
      </c>
      <c r="AF1" t="s">
        <v>124</v>
      </c>
      <c r="AG1" t="s">
        <v>101</v>
      </c>
      <c r="AH1" t="s">
        <v>125</v>
      </c>
      <c r="AI1" t="s">
        <v>102</v>
      </c>
      <c r="AJ1" t="s">
        <v>126</v>
      </c>
      <c r="AK1" t="s">
        <v>103</v>
      </c>
      <c r="AL1" t="s">
        <v>127</v>
      </c>
      <c r="AM1" t="s">
        <v>217</v>
      </c>
      <c r="AN1" t="s">
        <v>218</v>
      </c>
      <c r="AO1" t="s">
        <v>104</v>
      </c>
      <c r="AP1" t="s">
        <v>128</v>
      </c>
      <c r="AQ1" t="s">
        <v>129</v>
      </c>
      <c r="AR1" t="s">
        <v>130</v>
      </c>
      <c r="AS1" t="s">
        <v>131</v>
      </c>
      <c r="AT1" t="s">
        <v>132</v>
      </c>
      <c r="AU1" t="s">
        <v>105</v>
      </c>
      <c r="AV1" t="s">
        <v>106</v>
      </c>
      <c r="AW1" t="s">
        <v>198</v>
      </c>
      <c r="AX1" t="s">
        <v>267</v>
      </c>
      <c r="AY1" t="s">
        <v>268</v>
      </c>
      <c r="AZ1" t="s">
        <v>386</v>
      </c>
      <c r="BA1" t="s">
        <v>383</v>
      </c>
      <c r="BB1" t="s">
        <v>384</v>
      </c>
      <c r="BC1" t="s">
        <v>385</v>
      </c>
      <c r="BD1" t="s">
        <v>323</v>
      </c>
    </row>
    <row r="2" spans="1:56" x14ac:dyDescent="0.4">
      <c r="M2" s="63">
        <v>2</v>
      </c>
      <c r="N2" s="2"/>
      <c r="R2" s="93">
        <v>2</v>
      </c>
      <c r="T2" s="63"/>
      <c r="AA2" s="2"/>
      <c r="AC2" s="2"/>
      <c r="AE2" s="2"/>
      <c r="AG2" s="2"/>
      <c r="AI2" s="2"/>
      <c r="AJ2" s="1"/>
      <c r="AK2" s="2"/>
      <c r="AL2" s="1"/>
      <c r="AM2" s="1"/>
      <c r="AN2" s="1"/>
      <c r="AO2" s="1"/>
      <c r="AP2" s="1"/>
      <c r="AQ2" s="1"/>
      <c r="AR2" s="1"/>
      <c r="AS2" s="1"/>
      <c r="AT2" s="1"/>
      <c r="AU2" s="1"/>
      <c r="AV2" s="1"/>
      <c r="AW2" s="1"/>
      <c r="AX2" s="1"/>
      <c r="AY2" s="1"/>
      <c r="AZ2" s="1"/>
      <c r="BA2" s="1"/>
      <c r="BB2" s="1"/>
      <c r="BC2" s="1"/>
      <c r="BD2" s="1"/>
    </row>
  </sheetData>
  <phoneticPr fontId="3" type="noConversion"/>
  <pageMargins left="0.7" right="0.7" top="0.75" bottom="0.75" header="0.3" footer="0.3"/>
  <headerFooter>
    <oddFooter>&amp;R_x000D_&amp;1#&amp;"Calibri"&amp;8&amp;K000000 Cisco Confidential</oddFooter>
  </headerFooter>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49806B-7305-487B-A93F-3FD91B5A2F5E}">
  <sheetPr codeName="Sheet3">
    <tabColor theme="2" tint="-9.9978637043366805E-2"/>
  </sheetPr>
  <dimension ref="A1:BL2"/>
  <sheetViews>
    <sheetView zoomScale="115" zoomScaleNormal="115" workbookViewId="0">
      <selection activeCell="E350" sqref="E350"/>
    </sheetView>
  </sheetViews>
  <sheetFormatPr defaultColWidth="8.84375" defaultRowHeight="14.6" x14ac:dyDescent="0.4"/>
  <cols>
    <col min="1" max="1" width="12.3828125" bestFit="1" customWidth="1"/>
    <col min="2" max="2" width="11.3828125" customWidth="1"/>
    <col min="3" max="3" width="15.53515625" bestFit="1" customWidth="1"/>
    <col min="4" max="4" width="12.3046875" customWidth="1"/>
    <col min="5" max="5" width="7.69140625" bestFit="1" customWidth="1"/>
    <col min="6" max="6" width="11.53515625" bestFit="1" customWidth="1"/>
    <col min="7" max="7" width="15.69140625" customWidth="1"/>
    <col min="8" max="8" width="25" style="62" customWidth="1"/>
    <col min="9" max="9" width="14" style="62" bestFit="1" customWidth="1"/>
    <col min="10" max="10" width="28.3046875" bestFit="1" customWidth="1"/>
    <col min="11" max="11" width="7.69140625" bestFit="1" customWidth="1"/>
    <col min="12" max="12" width="25.69140625" bestFit="1" customWidth="1"/>
    <col min="13" max="13" width="22.921875" style="62" customWidth="1"/>
    <col min="14" max="14" width="31.4609375" customWidth="1"/>
    <col min="15" max="15" width="31.84375" style="62" customWidth="1"/>
    <col min="16" max="16" width="30.07421875" bestFit="1" customWidth="1"/>
    <col min="17" max="17" width="30.4609375" style="62" customWidth="1"/>
    <col min="18" max="18" width="32.69140625" customWidth="1"/>
    <col min="19" max="19" width="33.07421875" style="62" customWidth="1"/>
    <col min="20" max="20" width="26.23046875" bestFit="1" customWidth="1"/>
    <col min="21" max="21" width="26.61328125" style="62" customWidth="1"/>
    <col min="22" max="22" width="29.07421875" bestFit="1" customWidth="1"/>
    <col min="23" max="23" width="29.4609375" style="62" customWidth="1"/>
    <col min="24" max="24" width="28" bestFit="1" customWidth="1"/>
    <col min="25" max="25" width="28.3828125" style="62" customWidth="1"/>
    <col min="26" max="26" width="35.3046875" customWidth="1"/>
    <col min="27" max="27" width="31.15234375" customWidth="1"/>
    <col min="28" max="28" width="34" customWidth="1"/>
    <col min="29" max="29" width="32.921875" customWidth="1"/>
    <col min="30" max="30" width="33.69140625" customWidth="1"/>
    <col min="31" max="31" width="27.765625" customWidth="1"/>
    <col min="32" max="32" width="9" customWidth="1"/>
    <col min="33" max="33" width="9" bestFit="1" customWidth="1"/>
    <col min="34" max="34" width="17.61328125" bestFit="1" customWidth="1"/>
    <col min="35" max="35" width="18.921875" customWidth="1"/>
    <col min="36" max="36" width="12.07421875" bestFit="1" customWidth="1"/>
    <col min="37" max="37" width="18.765625" bestFit="1" customWidth="1"/>
    <col min="38" max="38" width="16.921875" bestFit="1" customWidth="1"/>
    <col min="39" max="39" width="20.3828125" bestFit="1" customWidth="1"/>
    <col min="40" max="40" width="12.15234375" bestFit="1" customWidth="1"/>
    <col min="41" max="41" width="16.4609375" bestFit="1" customWidth="1"/>
    <col min="42" max="43" width="14.3046875" bestFit="1" customWidth="1"/>
    <col min="44" max="44" width="14" bestFit="1" customWidth="1"/>
    <col min="45" max="45" width="22.23046875" bestFit="1" customWidth="1"/>
    <col min="46" max="46" width="26.53515625" bestFit="1" customWidth="1"/>
    <col min="47" max="47" width="11.3828125" bestFit="1" customWidth="1"/>
    <col min="48" max="48" width="14" bestFit="1" customWidth="1"/>
    <col min="49" max="49" width="32.84375" bestFit="1" customWidth="1"/>
    <col min="50" max="50" width="15.69140625" bestFit="1" customWidth="1"/>
    <col min="51" max="51" width="18.15234375" bestFit="1" customWidth="1"/>
    <col min="52" max="52" width="19.765625" bestFit="1" customWidth="1"/>
    <col min="53" max="53" width="27" bestFit="1" customWidth="1"/>
    <col min="54" max="54" width="9.84375" bestFit="1" customWidth="1"/>
    <col min="55" max="55" width="27.69140625" bestFit="1" customWidth="1"/>
    <col min="56" max="56" width="25" bestFit="1" customWidth="1"/>
    <col min="57" max="57" width="34.3828125" bestFit="1" customWidth="1"/>
    <col min="58" max="58" width="16.15234375" bestFit="1" customWidth="1"/>
    <col min="59" max="59" width="15.4609375" bestFit="1" customWidth="1"/>
    <col min="60" max="60" width="12.3046875" bestFit="1" customWidth="1"/>
    <col min="61" max="61" width="13.3828125" bestFit="1" customWidth="1"/>
    <col min="62" max="62" width="11" bestFit="1" customWidth="1"/>
    <col min="63" max="63" width="16.53515625" bestFit="1" customWidth="1"/>
    <col min="64" max="64" width="13.3046875" bestFit="1" customWidth="1"/>
    <col min="65" max="66" width="11" bestFit="1" customWidth="1"/>
    <col min="67" max="67" width="16.15234375" bestFit="1" customWidth="1"/>
    <col min="68" max="84" width="9.3828125" bestFit="1" customWidth="1"/>
    <col min="85" max="85" width="16.4609375" bestFit="1" customWidth="1"/>
    <col min="86" max="87" width="14.3046875" bestFit="1" customWidth="1"/>
    <col min="88" max="88" width="14" bestFit="1" customWidth="1"/>
    <col min="89" max="89" width="22.23046875" bestFit="1" customWidth="1"/>
    <col min="90" max="90" width="26.53515625" bestFit="1" customWidth="1"/>
    <col min="91" max="91" width="11.3828125" bestFit="1" customWidth="1"/>
    <col min="92" max="92" width="14" bestFit="1" customWidth="1"/>
    <col min="93" max="93" width="9.53515625" bestFit="1" customWidth="1"/>
    <col min="94" max="94" width="32.84375" bestFit="1" customWidth="1"/>
    <col min="95" max="95" width="15.69140625" bestFit="1" customWidth="1"/>
    <col min="96" max="96" width="18.15234375" bestFit="1" customWidth="1"/>
    <col min="97" max="97" width="19.765625" bestFit="1" customWidth="1"/>
    <col min="98" max="98" width="27" bestFit="1" customWidth="1"/>
    <col min="99" max="99" width="9.84375" bestFit="1" customWidth="1"/>
    <col min="100" max="100" width="27.69140625" bestFit="1" customWidth="1"/>
    <col min="101" max="101" width="25" bestFit="1" customWidth="1"/>
    <col min="102" max="102" width="34.3828125" bestFit="1" customWidth="1"/>
    <col min="103" max="103" width="16.15234375" customWidth="1"/>
    <col min="104" max="104" width="11.4609375" bestFit="1" customWidth="1"/>
    <col min="105" max="105" width="11.921875" bestFit="1" customWidth="1"/>
    <col min="106" max="106" width="27.69140625" bestFit="1" customWidth="1"/>
    <col min="107" max="107" width="25" bestFit="1" customWidth="1"/>
    <col min="108" max="108" width="34.3828125" customWidth="1"/>
    <col min="109" max="109" width="11.4609375" bestFit="1" customWidth="1"/>
    <col min="110" max="110" width="27.69140625" bestFit="1" customWidth="1"/>
    <col min="111" max="111" width="25" bestFit="1" customWidth="1"/>
    <col min="112" max="112" width="34.3828125" customWidth="1"/>
    <col min="113" max="113" width="25" bestFit="1" customWidth="1"/>
    <col min="114" max="114" width="34.3828125" bestFit="1" customWidth="1"/>
    <col min="115" max="115" width="9.84375" bestFit="1" customWidth="1"/>
    <col min="116" max="116" width="27.69140625" bestFit="1" customWidth="1"/>
    <col min="117" max="117" width="25" bestFit="1" customWidth="1"/>
    <col min="118" max="120" width="34.3828125" bestFit="1" customWidth="1"/>
    <col min="121" max="121" width="28.3046875" bestFit="1" customWidth="1"/>
    <col min="122" max="122" width="9.84375" bestFit="1" customWidth="1"/>
    <col min="123" max="123" width="31.53515625" bestFit="1" customWidth="1"/>
    <col min="124" max="124" width="22.15234375" bestFit="1" customWidth="1"/>
    <col min="125" max="125" width="19.3828125" customWidth="1"/>
    <col min="126" max="126" width="31.84375" customWidth="1"/>
    <col min="127" max="127" width="30.3828125" customWidth="1"/>
    <col min="128" max="128" width="31.84375" customWidth="1"/>
    <col min="129" max="129" width="26.53515625" customWidth="1"/>
    <col min="130" max="130" width="31.84375" customWidth="1"/>
    <col min="131" max="131" width="29.3828125" customWidth="1"/>
    <col min="132" max="132" width="31.84375" customWidth="1"/>
    <col min="133" max="133" width="28.3828125" customWidth="1"/>
    <col min="134" max="134" width="15.69140625" customWidth="1"/>
    <col min="135" max="135" width="35.3046875" customWidth="1"/>
    <col min="136" max="136" width="31.15234375" customWidth="1"/>
    <col min="137" max="137" width="34" customWidth="1"/>
    <col min="138" max="138" width="32.84375" customWidth="1"/>
    <col min="139" max="139" width="11.3828125" bestFit="1" customWidth="1"/>
    <col min="140" max="140" width="14" bestFit="1" customWidth="1"/>
    <col min="141" max="141" width="29.3828125" bestFit="1" customWidth="1"/>
    <col min="142" max="142" width="14.3046875" bestFit="1" customWidth="1"/>
    <col min="143" max="143" width="17.3828125" bestFit="1" customWidth="1"/>
    <col min="144" max="144" width="19.69140625" bestFit="1" customWidth="1"/>
    <col min="145" max="145" width="20.84375" bestFit="1" customWidth="1"/>
    <col min="146" max="146" width="11.69140625" bestFit="1" customWidth="1"/>
    <col min="147" max="147" width="18.15234375" bestFit="1" customWidth="1"/>
    <col min="148" max="148" width="19.69140625" bestFit="1" customWidth="1"/>
    <col min="149" max="149" width="18.15234375" bestFit="1" customWidth="1"/>
    <col min="150" max="150" width="9.84375" bestFit="1" customWidth="1"/>
    <col min="151" max="151" width="15.69140625" bestFit="1" customWidth="1"/>
    <col min="152" max="152" width="27.69140625" bestFit="1" customWidth="1"/>
    <col min="153" max="153" width="25" bestFit="1" customWidth="1"/>
    <col min="154" max="154" width="34.3828125" bestFit="1" customWidth="1"/>
    <col min="155" max="156" width="11.69140625" bestFit="1" customWidth="1"/>
    <col min="157" max="157" width="34.3828125" bestFit="1" customWidth="1"/>
  </cols>
  <sheetData>
    <row r="1" spans="1:64" x14ac:dyDescent="0.4">
      <c r="A1" t="s">
        <v>206</v>
      </c>
      <c r="B1" t="s">
        <v>81</v>
      </c>
      <c r="C1" t="s">
        <v>64</v>
      </c>
      <c r="D1" t="s">
        <v>65</v>
      </c>
      <c r="E1" t="s">
        <v>82</v>
      </c>
      <c r="F1" t="s">
        <v>83</v>
      </c>
      <c r="G1" t="s">
        <v>84</v>
      </c>
      <c r="H1" s="62" t="s">
        <v>68</v>
      </c>
      <c r="I1" s="62" t="s">
        <v>85</v>
      </c>
      <c r="J1" t="s">
        <v>86</v>
      </c>
      <c r="K1" t="s">
        <v>87</v>
      </c>
      <c r="L1" t="s">
        <v>208</v>
      </c>
      <c r="M1" s="62" t="s">
        <v>209</v>
      </c>
      <c r="N1" t="s">
        <v>88</v>
      </c>
      <c r="O1" s="62" t="s">
        <v>89</v>
      </c>
      <c r="P1" t="s">
        <v>90</v>
      </c>
      <c r="Q1" s="62" t="s">
        <v>91</v>
      </c>
      <c r="R1" t="s">
        <v>92</v>
      </c>
      <c r="S1" s="62" t="s">
        <v>93</v>
      </c>
      <c r="T1" t="s">
        <v>94</v>
      </c>
      <c r="U1" s="62" t="s">
        <v>95</v>
      </c>
      <c r="V1" t="s">
        <v>96</v>
      </c>
      <c r="W1" s="62" t="s">
        <v>97</v>
      </c>
      <c r="X1" t="s">
        <v>98</v>
      </c>
      <c r="Y1" s="62" t="s">
        <v>99</v>
      </c>
      <c r="Z1" t="s">
        <v>100</v>
      </c>
      <c r="AA1" t="s">
        <v>101</v>
      </c>
      <c r="AB1" t="s">
        <v>102</v>
      </c>
      <c r="AC1" t="s">
        <v>103</v>
      </c>
      <c r="AD1" t="s">
        <v>217</v>
      </c>
      <c r="AE1" t="s">
        <v>105</v>
      </c>
      <c r="AF1" t="s">
        <v>106</v>
      </c>
      <c r="AG1" t="s">
        <v>198</v>
      </c>
      <c r="AH1" t="s">
        <v>267</v>
      </c>
      <c r="AI1" t="s">
        <v>268</v>
      </c>
      <c r="AJ1" t="s">
        <v>386</v>
      </c>
      <c r="AK1" t="s">
        <v>383</v>
      </c>
      <c r="AL1" t="s">
        <v>384</v>
      </c>
      <c r="AM1" t="s">
        <v>385</v>
      </c>
      <c r="AN1" t="s">
        <v>323</v>
      </c>
      <c r="AO1" t="s">
        <v>107</v>
      </c>
      <c r="AP1" t="s">
        <v>108</v>
      </c>
      <c r="AQ1" t="s">
        <v>66</v>
      </c>
      <c r="AR1" t="s">
        <v>264</v>
      </c>
      <c r="AS1" t="s">
        <v>210</v>
      </c>
      <c r="AT1" t="s">
        <v>67</v>
      </c>
      <c r="AU1" t="s">
        <v>109</v>
      </c>
      <c r="AV1" t="s">
        <v>110</v>
      </c>
      <c r="AW1" t="s">
        <v>111</v>
      </c>
      <c r="AX1" t="s">
        <v>112</v>
      </c>
      <c r="AY1" t="s">
        <v>113</v>
      </c>
      <c r="AZ1" t="s">
        <v>15</v>
      </c>
      <c r="BA1" t="s">
        <v>211</v>
      </c>
      <c r="BB1" t="s">
        <v>114</v>
      </c>
      <c r="BC1" t="s">
        <v>115</v>
      </c>
      <c r="BD1" t="s">
        <v>116</v>
      </c>
      <c r="BE1" t="s">
        <v>117</v>
      </c>
      <c r="BF1" t="s">
        <v>252</v>
      </c>
      <c r="BG1" t="s">
        <v>326</v>
      </c>
      <c r="BH1" t="s">
        <v>327</v>
      </c>
      <c r="BI1" t="s">
        <v>328</v>
      </c>
      <c r="BJ1" t="s">
        <v>329</v>
      </c>
      <c r="BK1" t="s">
        <v>345</v>
      </c>
      <c r="BL1" t="s">
        <v>395</v>
      </c>
    </row>
    <row r="2" spans="1:64" x14ac:dyDescent="0.4">
      <c r="I2" s="62">
        <v>1</v>
      </c>
      <c r="M2" s="62">
        <v>1</v>
      </c>
      <c r="N2" t="s">
        <v>118</v>
      </c>
      <c r="P2" t="s">
        <v>118</v>
      </c>
      <c r="R2" t="s">
        <v>118</v>
      </c>
      <c r="T2" t="s">
        <v>118</v>
      </c>
      <c r="V2" t="s">
        <v>118</v>
      </c>
      <c r="X2" t="s">
        <v>118</v>
      </c>
      <c r="AP2">
        <v>1</v>
      </c>
      <c r="AQ2" t="s">
        <v>57</v>
      </c>
      <c r="AR2">
        <v>46165</v>
      </c>
      <c r="AS2" t="s">
        <v>71</v>
      </c>
      <c r="AV2" t="s">
        <v>119</v>
      </c>
      <c r="AX2" t="b">
        <v>0</v>
      </c>
      <c r="AY2">
        <v>0</v>
      </c>
      <c r="AZ2">
        <v>0</v>
      </c>
      <c r="BA2">
        <v>0</v>
      </c>
      <c r="BB2" t="b">
        <v>0</v>
      </c>
      <c r="BC2" t="b">
        <v>0</v>
      </c>
      <c r="BD2" t="b">
        <v>0</v>
      </c>
      <c r="BE2" t="b">
        <v>0</v>
      </c>
      <c r="BG2" t="b">
        <v>0</v>
      </c>
      <c r="BH2" t="b">
        <v>0</v>
      </c>
      <c r="BI2" t="b">
        <v>0</v>
      </c>
      <c r="BJ2" t="b">
        <v>0</v>
      </c>
    </row>
  </sheetData>
  <phoneticPr fontId="3" type="noConversion"/>
  <pageMargins left="0.7" right="0.7" top="0.75" bottom="0.75" header="0.3" footer="0.3"/>
  <pageSetup orientation="portrait" horizontalDpi="1200" verticalDpi="12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D55E3F-5E0D-4871-B7CA-8A2C811FBCA3}">
  <sheetPr codeName="Sheet8">
    <tabColor theme="2" tint="-9.9978637043366805E-2"/>
  </sheetPr>
  <dimension ref="A1:AR72"/>
  <sheetViews>
    <sheetView topLeftCell="O1" workbookViewId="0">
      <selection activeCell="U31" sqref="U31"/>
    </sheetView>
  </sheetViews>
  <sheetFormatPr defaultRowHeight="14.6" x14ac:dyDescent="0.4"/>
  <cols>
    <col min="4" max="4" width="13.3828125" customWidth="1"/>
    <col min="5" max="6" width="10.15234375" bestFit="1" customWidth="1"/>
    <col min="10" max="10" width="10.15234375" bestFit="1" customWidth="1"/>
    <col min="14" max="14" width="10.15234375" bestFit="1" customWidth="1"/>
    <col min="16" max="16" width="10.07421875" bestFit="1" customWidth="1"/>
    <col min="17" max="17" width="10.23046875" bestFit="1" customWidth="1"/>
    <col min="18" max="18" width="13.4609375" bestFit="1" customWidth="1"/>
    <col min="19" max="19" width="16.53515625" bestFit="1" customWidth="1"/>
    <col min="20" max="20" width="20" bestFit="1" customWidth="1"/>
    <col min="21" max="21" width="20" customWidth="1"/>
    <col min="22" max="22" width="10.84375" bestFit="1" customWidth="1"/>
    <col min="23" max="23" width="13.69140625" bestFit="1" customWidth="1"/>
    <col min="24" max="24" width="19" bestFit="1" customWidth="1"/>
    <col min="25" max="25" width="19" customWidth="1"/>
    <col min="26" max="26" width="14" bestFit="1" customWidth="1"/>
    <col min="27" max="27" width="20.69140625" bestFit="1" customWidth="1"/>
    <col min="28" max="28" width="11.84375" bestFit="1" customWidth="1"/>
    <col min="29" max="29" width="18.53515625" bestFit="1" customWidth="1"/>
    <col min="30" max="33" width="18.53515625" customWidth="1"/>
    <col min="34" max="34" width="13" bestFit="1" customWidth="1"/>
    <col min="38" max="38" width="13" customWidth="1"/>
    <col min="39" max="39" width="19.23046875" customWidth="1"/>
    <col min="40" max="40" width="17.4609375" customWidth="1"/>
    <col min="41" max="41" width="12.61328125" customWidth="1"/>
    <col min="42" max="43" width="14" customWidth="1"/>
    <col min="44" max="44" width="13.53515625" customWidth="1"/>
  </cols>
  <sheetData>
    <row r="1" spans="1:44" ht="15" thickBot="1" x14ac:dyDescent="0.45">
      <c r="A1" s="28" t="s">
        <v>133</v>
      </c>
      <c r="B1">
        <f>ROWS(Data[])+50</f>
        <v>51</v>
      </c>
      <c r="D1" s="8" t="s">
        <v>134</v>
      </c>
      <c r="E1" s="8" t="s">
        <v>135</v>
      </c>
      <c r="F1" s="8" t="s">
        <v>136</v>
      </c>
      <c r="G1" s="8" t="s">
        <v>72</v>
      </c>
      <c r="H1" s="8" t="s">
        <v>272</v>
      </c>
      <c r="I1" s="267" t="s">
        <v>137</v>
      </c>
      <c r="J1" s="267"/>
      <c r="K1" s="267"/>
      <c r="L1" s="267"/>
      <c r="M1" s="267"/>
      <c r="N1" s="267"/>
      <c r="AJ1" s="8" t="s">
        <v>272</v>
      </c>
      <c r="AL1" s="8" t="s">
        <v>344</v>
      </c>
      <c r="AN1" s="60" t="s">
        <v>3</v>
      </c>
      <c r="AO1" s="60" t="s">
        <v>4</v>
      </c>
      <c r="AP1" s="60" t="s">
        <v>5</v>
      </c>
      <c r="AQ1" s="60" t="s">
        <v>6</v>
      </c>
      <c r="AR1" s="60" t="s">
        <v>372</v>
      </c>
    </row>
    <row r="2" spans="1:44" x14ac:dyDescent="0.4">
      <c r="D2" t="s">
        <v>138</v>
      </c>
      <c r="E2" s="62">
        <v>45137</v>
      </c>
      <c r="F2" s="62">
        <v>45164</v>
      </c>
      <c r="G2">
        <v>1</v>
      </c>
      <c r="H2" t="str" cm="1">
        <f t="array" aca="1" ref="H2:H13" ca="1">_xlfn._xlws.SORT(
   _xlfn._xlws.FILTER(AJ2:AJ100,
      (AJ2:AJ100 &gt;= "2026W11") *
      (AJ2:AJ100 &lt;= YEAR(TODAY()) &amp; "W" &amp; TEXT(_xlfn.ISOWEEKNUM(TODAY()), "00")) *
      (AJ2:AJ100 &lt;&gt; 0)
   ),
   1, -1
)</f>
        <v>2026W22</v>
      </c>
      <c r="I2" s="267" t="str">
        <f>AD2</f>
        <v>Networking</v>
      </c>
      <c r="J2" s="267"/>
      <c r="K2" s="267" t="str">
        <f>AE2</f>
        <v>Security</v>
      </c>
      <c r="L2" s="267"/>
      <c r="M2" s="267" t="str">
        <f>AF2</f>
        <v>Cloud + AI Infrastructure</v>
      </c>
      <c r="N2" s="267"/>
      <c r="Q2" s="9" t="s">
        <v>219</v>
      </c>
      <c r="R2" s="8" t="str" cm="1">
        <f t="array" ref="R2:AC2">TRANSPOSE(_xlfn.UNIQUE(Hierarchy[Offer]))</f>
        <v>Catalyst Center</v>
      </c>
      <c r="S2" s="8" t="str">
        <v>Meraki</v>
      </c>
      <c r="T2" s="8" t="str">
        <v>SD WAN</v>
      </c>
      <c r="U2" s="8" t="str">
        <v>Cisco Secure Network Analytics</v>
      </c>
      <c r="V2" s="8" t="str">
        <v>Duo</v>
      </c>
      <c r="W2" s="8" t="str">
        <v>Cisco Umbrella</v>
      </c>
      <c r="X2" s="8" t="str">
        <v>Cisco Secure Firewall</v>
      </c>
      <c r="Y2" s="8" t="str">
        <v>Identity Services Engine</v>
      </c>
      <c r="Z2" s="8" t="str">
        <v>Cisco Intersight</v>
      </c>
      <c r="AA2" s="8" t="str">
        <v>Data Center Networking</v>
      </c>
      <c r="AB2" s="8" t="str">
        <v>Webex Suite</v>
      </c>
      <c r="AC2" s="8" t="str">
        <v>Cisco Contact Center</v>
      </c>
      <c r="AD2" s="71" t="str" cm="1">
        <f t="array" ref="AD2:AG2">TRANSPOSE(_xlfn.UNIQUE(Hierarchy[Domain]))</f>
        <v>Networking</v>
      </c>
      <c r="AE2" s="71" t="str">
        <v>Security</v>
      </c>
      <c r="AF2" s="71" t="str">
        <v>Cloud + AI Infrastructure</v>
      </c>
      <c r="AG2" s="71" t="str">
        <v>Collaboration</v>
      </c>
      <c r="AJ2" t="s">
        <v>273</v>
      </c>
      <c r="AL2" t="e" cm="1" vm="1">
        <f t="array" ref="AL2">_xlfn._xlws.SORT(_xlfn.UNIQUE(_xlfn._xlws.FILTER(Data[CRPartyNameID], ( (Data[Stage]="Eligible") + (Data[Stage]="Expired") ) * (Data[Adopt Rebate Opt-In Status]="Opted In") )))</f>
        <v>#VALUE!</v>
      </c>
      <c r="AN2" s="4" t="s">
        <v>17</v>
      </c>
      <c r="AO2" s="4" t="s">
        <v>18</v>
      </c>
      <c r="AP2" s="4" t="s">
        <v>19</v>
      </c>
      <c r="AQ2" t="s">
        <v>20</v>
      </c>
      <c r="AR2" s="166" t="s">
        <v>347</v>
      </c>
    </row>
    <row r="3" spans="1:44" x14ac:dyDescent="0.4">
      <c r="D3" t="s">
        <v>139</v>
      </c>
      <c r="E3" s="62">
        <v>45165</v>
      </c>
      <c r="F3" s="62">
        <v>45192</v>
      </c>
      <c r="G3">
        <v>2</v>
      </c>
      <c r="H3" t="str">
        <f ca="1"/>
        <v>2026W21</v>
      </c>
      <c r="I3" s="267" t="s">
        <v>58</v>
      </c>
      <c r="J3" s="267"/>
      <c r="K3" s="267"/>
      <c r="L3" s="267"/>
      <c r="M3" s="267"/>
      <c r="N3" s="267"/>
      <c r="Q3" s="8" t="s">
        <v>57</v>
      </c>
      <c r="R3" s="52">
        <f ca="1">SUMIFS(Data[Booking Amount - Net to Cisco],Data[Track],R$2,Data[Current stage],$Q3, Data[Maximum Incentive Deal Flag],"Yes",Data[Booking Date],"&gt;"&amp;EDATE(TODAY()-DAY(TODAY())+1,-17))</f>
        <v>0</v>
      </c>
      <c r="S3" s="52">
        <f ca="1">SUMIFS(Data[Booking Amount - Net to Cisco],Data[Track],S$2,Data[Current stage],$Q3, Data[Maximum Incentive Deal Flag],"Yes",Data[Booking Date],"&gt;"&amp;EDATE(TODAY()-DAY(TODAY())+1,-17))</f>
        <v>0</v>
      </c>
      <c r="T3" s="52">
        <f ca="1">SUMIFS(Data[Booking Amount - Net to Cisco],Data[Track],T$2,Data[Current stage],$Q3, Data[Maximum Incentive Deal Flag],"Yes",Data[Booking Date],"&gt;"&amp;EDATE(TODAY()-DAY(TODAY())+1,-17))</f>
        <v>0</v>
      </c>
      <c r="U3" s="52">
        <f ca="1">SUMIFS(Data[Booking Amount - Net to Cisco],Data[Track],U$2,Data[Current stage],$Q3, Data[Maximum Incentive Deal Flag],"Yes",Data[Booking Date],"&gt;"&amp;EDATE(TODAY()-DAY(TODAY())+1,-17))</f>
        <v>0</v>
      </c>
      <c r="V3" s="52">
        <f ca="1">SUMIFS(Data[Booking Amount - Net to Cisco],Data[Track],V$2,Data[Current stage],$Q3, Data[Maximum Incentive Deal Flag],"Yes", Data[Booking Date],"&gt;"&amp;EDATE(TODAY()-DAY(TODAY())+1,-17))</f>
        <v>0</v>
      </c>
      <c r="W3" s="52">
        <f ca="1">SUMIFS(Data[Booking Amount - Net to Cisco],Data[Track],W$2,Data[Current stage],$Q3, Data[Maximum Incentive Deal Flag],"Yes", Data[Booking Date],"&gt;"&amp;EDATE(TODAY()-DAY(TODAY())+1,-17))</f>
        <v>0</v>
      </c>
      <c r="X3" s="52">
        <f ca="1">SUMIFS(Data[Booking Amount - Net to Cisco],Data[Track],X$2,Data[Current stage],$Q3, Data[Maximum Incentive Deal Flag],"Yes", Data[Booking Date],"&gt;"&amp;EDATE(TODAY()-DAY(TODAY())+1,-17))</f>
        <v>0</v>
      </c>
      <c r="Y3" s="52">
        <f ca="1">SUMIFS(Data[Booking Amount - Net to Cisco],Data[Track],Y$2,Data[Current stage],$Q3, Data[Maximum Incentive Deal Flag],"Yes", Data[Booking Date],"&gt;"&amp;EDATE(TODAY()-DAY(TODAY())+1,-17))</f>
        <v>0</v>
      </c>
      <c r="Z3" s="52">
        <f ca="1">SUMIFS(Data[Booking Amount - Net to Cisco],Data[Track],Z$2,Data[Current stage],$Q3, Data[Maximum Incentive Deal Flag],"Yes", Data[Booking Date],"&gt;"&amp;EDATE(TODAY()-DAY(TODAY())+1,-17))</f>
        <v>0</v>
      </c>
      <c r="AA3" s="52">
        <f ca="1">SUMIFS(Data[Booking Amount - Net to Cisco],Data[Track],AA$2,Data[Current stage],$Q3, Data[Maximum Incentive Deal Flag],"Yes", Data[Booking Date],"&gt;"&amp;EDATE(TODAY()-DAY(TODAY())+1,-17))</f>
        <v>0</v>
      </c>
      <c r="AB3" s="52">
        <f ca="1">SUMIFS(Data[Booking Amount - Net to Cisco],Data[Track],AB$2,Data[Current stage],$Q3, Data[Maximum Incentive Deal Flag],"Yes", Data[Booking Date],"&gt;"&amp;EDATE(TODAY()-DAY(TODAY())+1,-17))</f>
        <v>0</v>
      </c>
      <c r="AC3" s="52">
        <f ca="1">SUMIFS(Data[Booking Amount - Net to Cisco],Data[Track],AC$2,Data[Current stage],$Q3, Data[Maximum Incentive Deal Flag],"Yes", Data[Booking Date],"&gt;"&amp;EDATE(TODAY()-DAY(TODAY())+1,-17))</f>
        <v>0</v>
      </c>
      <c r="AD3" s="72" cm="1">
        <f t="array" aca="1" ref="AD3" ca="1">SUM(_xlfn._xlws.FILTER($R3:$AC3, ISNUMBER(MATCH($R$2:$AC$2, _xlfn._xlws.FILTER(Hierarchy[[Offer]:[Offer]], Hierarchy[[Domain]:[Domain]]=AD$2), 0)), 0))</f>
        <v>0</v>
      </c>
      <c r="AE3" s="72" cm="1">
        <f t="array" aca="1" ref="AE3" ca="1">SUM(_xlfn._xlws.FILTER($R3:$AC3, ISNUMBER(MATCH($R$2:$AC$2, _xlfn._xlws.FILTER(Hierarchy[[Offer]:[Offer]], Hierarchy[[Domain]:[Domain]]=AE$2), 0)), 0))</f>
        <v>0</v>
      </c>
      <c r="AF3" s="72" cm="1">
        <f t="array" aca="1" ref="AF3" ca="1">SUM(_xlfn._xlws.FILTER($R3:$AC3, ISNUMBER(MATCH($R$2:$AC$2, _xlfn._xlws.FILTER(Hierarchy[[Offer]:[Offer]], Hierarchy[[Domain]:[Domain]]=AF$2), 0)), 0))</f>
        <v>0</v>
      </c>
      <c r="AG3" s="72" cm="1">
        <f t="array" aca="1" ref="AG3" ca="1">SUM(_xlfn._xlws.FILTER($R3:$AC3, ISNUMBER(MATCH($R$2:$AC$2, _xlfn._xlws.FILTER(Hierarchy[[Offer]:[Offer]], Hierarchy[[Domain]:[Domain]]=AG$2), 0)), 0))</f>
        <v>0</v>
      </c>
      <c r="AH3" s="52">
        <f ca="1">SUM(AD3:AG3)</f>
        <v>0</v>
      </c>
      <c r="AJ3" t="s">
        <v>274</v>
      </c>
      <c r="AN3" t="s">
        <v>17</v>
      </c>
      <c r="AO3" t="s">
        <v>18</v>
      </c>
      <c r="AP3" t="s">
        <v>21</v>
      </c>
      <c r="AQ3" t="s">
        <v>20</v>
      </c>
      <c r="AR3" s="166" t="s">
        <v>348</v>
      </c>
    </row>
    <row r="4" spans="1:44" x14ac:dyDescent="0.4">
      <c r="D4" t="s">
        <v>140</v>
      </c>
      <c r="E4" s="62">
        <v>45193</v>
      </c>
      <c r="F4" s="62">
        <v>45227</v>
      </c>
      <c r="G4">
        <v>3</v>
      </c>
      <c r="H4" t="str">
        <f ca="1"/>
        <v>2026W20</v>
      </c>
      <c r="I4">
        <v>0</v>
      </c>
      <c r="J4" s="55">
        <v>-0.01</v>
      </c>
      <c r="K4">
        <v>0</v>
      </c>
      <c r="L4" s="55">
        <v>-0.01</v>
      </c>
      <c r="M4">
        <v>0</v>
      </c>
      <c r="N4" s="55">
        <v>-0.01</v>
      </c>
      <c r="Q4" s="8" t="s">
        <v>58</v>
      </c>
      <c r="R4" s="52">
        <f ca="1">SUMIFS(Data[Booking Amount - Net to Cisco],Data[Track],R$2,Data[Current stage],$Q4, Data[Maximum Incentive Deal Flag],"Yes",Data[Booking Date],"&gt;"&amp;EDATE(TODAY()-DAY(TODAY())+1,-17))</f>
        <v>0</v>
      </c>
      <c r="S4" s="52">
        <f ca="1">SUMIFS(Data[Booking Amount - Net to Cisco],Data[Track],S$2,Data[Current stage],$Q4, Data[Maximum Incentive Deal Flag],"Yes",Data[Booking Date],"&gt;"&amp;EDATE(TODAY()-DAY(TODAY())+1,-17))</f>
        <v>0</v>
      </c>
      <c r="T4" s="52">
        <f ca="1">SUMIFS(Data[Booking Amount - Net to Cisco],Data[Track],T$2,Data[Current stage],$Q4, Data[Maximum Incentive Deal Flag],"Yes",Data[Booking Date],"&gt;"&amp;EDATE(TODAY()-DAY(TODAY())+1,-17))</f>
        <v>0</v>
      </c>
      <c r="U4" s="52">
        <f ca="1">SUMIFS(Data[Booking Amount - Net to Cisco],Data[Track],U$2,Data[Current stage],$Q4, Data[Maximum Incentive Deal Flag],"Yes",Data[Booking Date],"&gt;"&amp;EDATE(TODAY()-DAY(TODAY())+1,-17))</f>
        <v>0</v>
      </c>
      <c r="V4" s="52">
        <f ca="1">SUMIFS(Data[Booking Amount - Net to Cisco],Data[Track],V$2,Data[Current stage],$Q4, Data[Maximum Incentive Deal Flag],"Yes", Data[Booking Date],"&gt;"&amp;EDATE(TODAY()-DAY(TODAY())+1,-17))</f>
        <v>0</v>
      </c>
      <c r="W4" s="52">
        <f ca="1">SUMIFS(Data[Booking Amount - Net to Cisco],Data[Track],W$2,Data[Current stage],$Q4, Data[Maximum Incentive Deal Flag],"Yes", Data[Booking Date],"&gt;"&amp;EDATE(TODAY()-DAY(TODAY())+1,-17))</f>
        <v>0</v>
      </c>
      <c r="X4" s="52">
        <f ca="1">SUMIFS(Data[Booking Amount - Net to Cisco],Data[Track],X$2,Data[Current stage],$Q4, Data[Maximum Incentive Deal Flag],"Yes", Data[Booking Date],"&gt;"&amp;EDATE(TODAY()-DAY(TODAY())+1,-17))</f>
        <v>0</v>
      </c>
      <c r="Y4" s="52">
        <f ca="1">SUMIFS(Data[Booking Amount - Net to Cisco],Data[Track],Y$2,Data[Current stage],$Q4, Data[Maximum Incentive Deal Flag],"Yes", Data[Booking Date],"&gt;"&amp;EDATE(TODAY()-DAY(TODAY())+1,-17))</f>
        <v>0</v>
      </c>
      <c r="Z4" s="52">
        <f ca="1">SUMIFS(Data[Booking Amount - Net to Cisco],Data[Track],Z$2,Data[Current stage],$Q4, Data[Maximum Incentive Deal Flag],"Yes", Data[Booking Date],"&gt;"&amp;EDATE(TODAY()-DAY(TODAY())+1,-17))</f>
        <v>0</v>
      </c>
      <c r="AA4" s="52">
        <f ca="1">SUMIFS(Data[Booking Amount - Net to Cisco],Data[Track],AA$2,Data[Current stage],$Q4, Data[Maximum Incentive Deal Flag],"Yes", Data[Booking Date],"&gt;"&amp;EDATE(TODAY()-DAY(TODAY())+1,-17))</f>
        <v>0</v>
      </c>
      <c r="AB4" s="52">
        <f ca="1">SUMIFS(Data[Booking Amount - Net to Cisco],Data[Track],AB$2,Data[Current stage],$Q4, Data[Maximum Incentive Deal Flag],"Yes", Data[Booking Date],"&gt;"&amp;EDATE(TODAY()-DAY(TODAY())+1,-17))</f>
        <v>0</v>
      </c>
      <c r="AC4" s="52">
        <f ca="1">SUMIFS(Data[Booking Amount - Net to Cisco],Data[Track],AC$2,Data[Current stage],$Q4, Data[Maximum Incentive Deal Flag],"Yes", Data[Booking Date],"&gt;"&amp;EDATE(TODAY()-DAY(TODAY())+1,-17))</f>
        <v>0</v>
      </c>
      <c r="AD4" s="72" cm="1">
        <f t="array" aca="1" ref="AD4" ca="1">SUM(_xlfn._xlws.FILTER($R4:$AC4, ISNUMBER(MATCH($R$2:$AC$2, _xlfn._xlws.FILTER(Hierarchy[[Offer]:[Offer]], Hierarchy[[Domain]:[Domain]]=AD$2), 0)), 0))</f>
        <v>0</v>
      </c>
      <c r="AE4" s="72" cm="1">
        <f t="array" aca="1" ref="AE4" ca="1">SUM(_xlfn._xlws.FILTER($R4:$AC4, ISNUMBER(MATCH($R$2:$AC$2, _xlfn._xlws.FILTER(Hierarchy[[Offer]:[Offer]], Hierarchy[[Domain]:[Domain]]=AE$2), 0)), 0))</f>
        <v>0</v>
      </c>
      <c r="AF4" s="72" cm="1">
        <f t="array" aca="1" ref="AF4" ca="1">SUM(_xlfn._xlws.FILTER($R4:$AC4, ISNUMBER(MATCH($R$2:$AC$2, _xlfn._xlws.FILTER(Hierarchy[[Offer]:[Offer]], Hierarchy[[Domain]:[Domain]]=AF$2), 0)), 0))</f>
        <v>0</v>
      </c>
      <c r="AG4" s="72" cm="1">
        <f t="array" aca="1" ref="AG4" ca="1">SUM(_xlfn._xlws.FILTER($R4:$AC4, ISNUMBER(MATCH($R$2:$AC$2, _xlfn._xlws.FILTER(Hierarchy[[Offer]:[Offer]], Hierarchy[[Domain]:[Domain]]=AG$2), 0)), 0))</f>
        <v>0</v>
      </c>
      <c r="AH4" s="52">
        <f t="shared" ref="AH4:AH9" ca="1" si="0">SUM(AD4:AG4)</f>
        <v>0</v>
      </c>
      <c r="AJ4" t="s">
        <v>275</v>
      </c>
      <c r="AN4" t="s">
        <v>17</v>
      </c>
      <c r="AO4" t="s">
        <v>18</v>
      </c>
      <c r="AP4" t="s">
        <v>22</v>
      </c>
      <c r="AQ4" t="s">
        <v>23</v>
      </c>
      <c r="AR4" s="166" t="s">
        <v>349</v>
      </c>
    </row>
    <row r="5" spans="1:44" x14ac:dyDescent="0.4">
      <c r="D5" t="s">
        <v>141</v>
      </c>
      <c r="E5" s="62">
        <v>45228</v>
      </c>
      <c r="F5" s="62">
        <v>45255</v>
      </c>
      <c r="G5">
        <v>4</v>
      </c>
      <c r="H5" t="str">
        <f ca="1"/>
        <v>2026W19</v>
      </c>
      <c r="I5">
        <v>1</v>
      </c>
      <c r="J5" s="55">
        <v>-0.01</v>
      </c>
      <c r="K5">
        <v>1</v>
      </c>
      <c r="L5" s="55">
        <v>-0.01</v>
      </c>
      <c r="M5">
        <v>1</v>
      </c>
      <c r="N5" s="55">
        <v>-0.01</v>
      </c>
      <c r="Q5" s="8" t="s">
        <v>59</v>
      </c>
      <c r="R5" s="52">
        <f ca="1">SUMIFS(Data[Booking Amount - Net to Cisco],Data[Track],R$2,Data[Current stage],$Q5, Data[Maximum Incentive Deal Flag],"Yes",Data[Booking Date],"&gt;"&amp;EDATE(TODAY()-DAY(TODAY())+1,-17))</f>
        <v>0</v>
      </c>
      <c r="S5" s="52">
        <f ca="1">SUMIFS(Data[Booking Amount - Net to Cisco],Data[Track],S$2,Data[Current stage],$Q5, Data[Maximum Incentive Deal Flag],"Yes",Data[Booking Date],"&gt;"&amp;EDATE(TODAY()-DAY(TODAY())+1,-17))</f>
        <v>0</v>
      </c>
      <c r="T5" s="52">
        <f ca="1">SUMIFS(Data[Booking Amount - Net to Cisco],Data[Track],T$2,Data[Current stage],$Q5, Data[Maximum Incentive Deal Flag],"Yes",Data[Booking Date],"&gt;"&amp;EDATE(TODAY()-DAY(TODAY())+1,-17))</f>
        <v>0</v>
      </c>
      <c r="U5" s="52">
        <f ca="1">SUMIFS(Data[Booking Amount - Net to Cisco],Data[Track],U$2,Data[Current stage],$Q5, Data[Maximum Incentive Deal Flag],"Yes",Data[Booking Date],"&gt;"&amp;EDATE(TODAY()-DAY(TODAY())+1,-17))</f>
        <v>0</v>
      </c>
      <c r="V5" s="52">
        <f ca="1">SUMIFS(Data[Booking Amount - Net to Cisco],Data[Track],V$2,Data[Current stage],$Q5, Data[Maximum Incentive Deal Flag],"Yes", Data[Booking Date],"&gt;"&amp;EDATE(TODAY()-DAY(TODAY())+1,-17))</f>
        <v>0</v>
      </c>
      <c r="W5" s="52">
        <f ca="1">SUMIFS(Data[Booking Amount - Net to Cisco],Data[Track],W$2,Data[Current stage],$Q5, Data[Maximum Incentive Deal Flag],"Yes", Data[Booking Date],"&gt;"&amp;EDATE(TODAY()-DAY(TODAY())+1,-17))</f>
        <v>0</v>
      </c>
      <c r="X5" s="52">
        <f ca="1">SUMIFS(Data[Booking Amount - Net to Cisco],Data[Track],X$2,Data[Current stage],$Q5, Data[Maximum Incentive Deal Flag],"Yes", Data[Booking Date],"&gt;"&amp;EDATE(TODAY()-DAY(TODAY())+1,-17))</f>
        <v>0</v>
      </c>
      <c r="Y5" s="52">
        <f ca="1">SUMIFS(Data[Booking Amount - Net to Cisco],Data[Track],Y$2,Data[Current stage],$Q5, Data[Maximum Incentive Deal Flag],"Yes", Data[Booking Date],"&gt;"&amp;EDATE(TODAY()-DAY(TODAY())+1,-17))</f>
        <v>0</v>
      </c>
      <c r="Z5" s="52">
        <f ca="1">SUMIFS(Data[Booking Amount - Net to Cisco],Data[Track],Z$2,Data[Current stage],$Q5, Data[Maximum Incentive Deal Flag],"Yes", Data[Booking Date],"&gt;"&amp;EDATE(TODAY()-DAY(TODAY())+1,-17))</f>
        <v>0</v>
      </c>
      <c r="AA5" s="52">
        <f ca="1">SUMIFS(Data[Booking Amount - Net to Cisco],Data[Track],AA$2,Data[Current stage],$Q5, Data[Maximum Incentive Deal Flag],"Yes", Data[Booking Date],"&gt;"&amp;EDATE(TODAY()-DAY(TODAY())+1,-17))</f>
        <v>0</v>
      </c>
      <c r="AB5" s="52">
        <f ca="1">SUMIFS(Data[Booking Amount - Net to Cisco],Data[Track],AB$2,Data[Current stage],$Q5, Data[Maximum Incentive Deal Flag],"Yes", Data[Booking Date],"&gt;"&amp;EDATE(TODAY()-DAY(TODAY())+1,-17))</f>
        <v>0</v>
      </c>
      <c r="AC5" s="52">
        <f ca="1">SUMIFS(Data[Booking Amount - Net to Cisco],Data[Track],AC$2,Data[Current stage],$Q5, Data[Maximum Incentive Deal Flag],"Yes", Data[Booking Date],"&gt;"&amp;EDATE(TODAY()-DAY(TODAY())+1,-17))</f>
        <v>0</v>
      </c>
      <c r="AD5" s="72" cm="1">
        <f t="array" aca="1" ref="AD5" ca="1">SUM(_xlfn._xlws.FILTER($R5:$AC5, ISNUMBER(MATCH($R$2:$AC$2, _xlfn._xlws.FILTER(Hierarchy[[Offer]:[Offer]], Hierarchy[[Domain]:[Domain]]=AD$2), 0)), 0))</f>
        <v>0</v>
      </c>
      <c r="AE5" s="72" cm="1">
        <f t="array" aca="1" ref="AE5" ca="1">SUM(_xlfn._xlws.FILTER($R5:$AC5, ISNUMBER(MATCH($R$2:$AC$2, _xlfn._xlws.FILTER(Hierarchy[[Offer]:[Offer]], Hierarchy[[Domain]:[Domain]]=AE$2), 0)), 0))</f>
        <v>0</v>
      </c>
      <c r="AF5" s="72" cm="1">
        <f t="array" aca="1" ref="AF5" ca="1">SUM(_xlfn._xlws.FILTER($R5:$AC5, ISNUMBER(MATCH($R$2:$AC$2, _xlfn._xlws.FILTER(Hierarchy[[Offer]:[Offer]], Hierarchy[[Domain]:[Domain]]=AF$2), 0)), 0))</f>
        <v>0</v>
      </c>
      <c r="AG5" s="72" cm="1">
        <f t="array" aca="1" ref="AG5" ca="1">SUM(_xlfn._xlws.FILTER($R5:$AC5, ISNUMBER(MATCH($R$2:$AC$2, _xlfn._xlws.FILTER(Hierarchy[[Offer]:[Offer]], Hierarchy[[Domain]:[Domain]]=AG$2), 0)), 0))</f>
        <v>0</v>
      </c>
      <c r="AH5" s="52">
        <f t="shared" ca="1" si="0"/>
        <v>0</v>
      </c>
      <c r="AJ5" t="s">
        <v>276</v>
      </c>
      <c r="AN5" t="s">
        <v>17</v>
      </c>
      <c r="AO5" t="s">
        <v>18</v>
      </c>
      <c r="AP5" t="s">
        <v>24</v>
      </c>
      <c r="AQ5" t="s">
        <v>23</v>
      </c>
      <c r="AR5" s="166" t="s">
        <v>350</v>
      </c>
    </row>
    <row r="6" spans="1:44" x14ac:dyDescent="0.4">
      <c r="D6" t="s">
        <v>142</v>
      </c>
      <c r="E6" s="62">
        <v>45256</v>
      </c>
      <c r="F6" s="62">
        <v>45283</v>
      </c>
      <c r="G6">
        <v>5</v>
      </c>
      <c r="H6" t="str">
        <f ca="1"/>
        <v>2026W18</v>
      </c>
      <c r="I6">
        <v>2</v>
      </c>
      <c r="J6" s="55">
        <v>0.1</v>
      </c>
      <c r="K6">
        <v>2</v>
      </c>
      <c r="L6" s="55">
        <v>0.1</v>
      </c>
      <c r="M6">
        <v>2</v>
      </c>
      <c r="N6" s="55">
        <v>0.1</v>
      </c>
      <c r="Q6" s="8" t="s">
        <v>60</v>
      </c>
      <c r="R6" s="52">
        <f ca="1">SUMIFS(Data[Booking Amount - Net to Cisco],Data[Track],R$2,Data[Current stage],$Q6, Data[Maximum Incentive Deal Flag],"Yes",Data[Booking Date],"&gt;"&amp;EDATE(TODAY()-DAY(TODAY())+1,-17))</f>
        <v>0</v>
      </c>
      <c r="S6" s="52">
        <f ca="1">SUMIFS(Data[Booking Amount - Net to Cisco],Data[Track],S$2,Data[Current stage],$Q6, Data[Maximum Incentive Deal Flag],"Yes",Data[Booking Date],"&gt;"&amp;EDATE(TODAY()-DAY(TODAY())+1,-17))</f>
        <v>0</v>
      </c>
      <c r="T6" s="52">
        <f ca="1">SUMIFS(Data[Booking Amount - Net to Cisco],Data[Track],T$2,Data[Current stage],$Q6, Data[Maximum Incentive Deal Flag],"Yes",Data[Booking Date],"&gt;"&amp;EDATE(TODAY()-DAY(TODAY())+1,-17))</f>
        <v>0</v>
      </c>
      <c r="U6" s="52">
        <f ca="1">SUMIFS(Data[Booking Amount - Net to Cisco],Data[Track],U$2,Data[Current stage],$Q6, Data[Maximum Incentive Deal Flag],"Yes",Data[Booking Date],"&gt;"&amp;EDATE(TODAY()-DAY(TODAY())+1,-17))</f>
        <v>0</v>
      </c>
      <c r="V6" s="52">
        <f ca="1">SUMIFS(Data[Booking Amount - Net to Cisco],Data[Track],V$2,Data[Current stage],$Q6, Data[Maximum Incentive Deal Flag],"Yes", Data[Booking Date],"&gt;"&amp;EDATE(TODAY()-DAY(TODAY())+1,-17))</f>
        <v>0</v>
      </c>
      <c r="W6" s="52">
        <f ca="1">SUMIFS(Data[Booking Amount - Net to Cisco],Data[Track],W$2,Data[Current stage],$Q6, Data[Maximum Incentive Deal Flag],"Yes", Data[Booking Date],"&gt;"&amp;EDATE(TODAY()-DAY(TODAY())+1,-17))</f>
        <v>0</v>
      </c>
      <c r="X6" s="52">
        <f ca="1">SUMIFS(Data[Booking Amount - Net to Cisco],Data[Track],X$2,Data[Current stage],$Q6, Data[Maximum Incentive Deal Flag],"Yes", Data[Booking Date],"&gt;"&amp;EDATE(TODAY()-DAY(TODAY())+1,-17))</f>
        <v>0</v>
      </c>
      <c r="Y6" s="52">
        <f ca="1">SUMIFS(Data[Booking Amount - Net to Cisco],Data[Track],Y$2,Data[Current stage],$Q6, Data[Maximum Incentive Deal Flag],"Yes", Data[Booking Date],"&gt;"&amp;EDATE(TODAY()-DAY(TODAY())+1,-17))</f>
        <v>0</v>
      </c>
      <c r="Z6" s="52">
        <f ca="1">SUMIFS(Data[Booking Amount - Net to Cisco],Data[Track],Z$2,Data[Current stage],$Q6, Data[Maximum Incentive Deal Flag],"Yes", Data[Booking Date],"&gt;"&amp;EDATE(TODAY()-DAY(TODAY())+1,-17))</f>
        <v>0</v>
      </c>
      <c r="AA6" s="52">
        <f ca="1">SUMIFS(Data[Booking Amount - Net to Cisco],Data[Track],AA$2,Data[Current stage],$Q6, Data[Maximum Incentive Deal Flag],"Yes", Data[Booking Date],"&gt;"&amp;EDATE(TODAY()-DAY(TODAY())+1,-17))</f>
        <v>0</v>
      </c>
      <c r="AB6" s="52">
        <f ca="1">SUMIFS(Data[Booking Amount - Net to Cisco],Data[Track],AB$2,Data[Current stage],$Q6, Data[Maximum Incentive Deal Flag],"Yes", Data[Booking Date],"&gt;"&amp;EDATE(TODAY()-DAY(TODAY())+1,-17))</f>
        <v>0</v>
      </c>
      <c r="AC6" s="52">
        <f ca="1">SUMIFS(Data[Booking Amount - Net to Cisco],Data[Track],AC$2,Data[Current stage],$Q6, Data[Maximum Incentive Deal Flag],"Yes", Data[Booking Date],"&gt;"&amp;EDATE(TODAY()-DAY(TODAY())+1,-17))</f>
        <v>0</v>
      </c>
      <c r="AD6" s="72" cm="1">
        <f t="array" aca="1" ref="AD6" ca="1">SUM(_xlfn._xlws.FILTER($R6:$AC6, ISNUMBER(MATCH($R$2:$AC$2, _xlfn._xlws.FILTER(Hierarchy[[Offer]:[Offer]], Hierarchy[[Domain]:[Domain]]=AD$2), 0)), 0))</f>
        <v>0</v>
      </c>
      <c r="AE6" s="72" cm="1">
        <f t="array" aca="1" ref="AE6" ca="1">SUM(_xlfn._xlws.FILTER($R6:$AC6, ISNUMBER(MATCH($R$2:$AC$2, _xlfn._xlws.FILTER(Hierarchy[[Offer]:[Offer]], Hierarchy[[Domain]:[Domain]]=AE$2), 0)), 0))</f>
        <v>0</v>
      </c>
      <c r="AF6" s="72" cm="1">
        <f t="array" aca="1" ref="AF6" ca="1">SUM(_xlfn._xlws.FILTER($R6:$AC6, ISNUMBER(MATCH($R$2:$AC$2, _xlfn._xlws.FILTER(Hierarchy[[Offer]:[Offer]], Hierarchy[[Domain]:[Domain]]=AF$2), 0)), 0))</f>
        <v>0</v>
      </c>
      <c r="AG6" s="72" cm="1">
        <f t="array" aca="1" ref="AG6" ca="1">SUM(_xlfn._xlws.FILTER($R6:$AC6, ISNUMBER(MATCH($R$2:$AC$2, _xlfn._xlws.FILTER(Hierarchy[[Offer]:[Offer]], Hierarchy[[Domain]:[Domain]]=AG$2), 0)), 0))</f>
        <v>0</v>
      </c>
      <c r="AH6" s="52">
        <f t="shared" ca="1" si="0"/>
        <v>0</v>
      </c>
      <c r="AJ6" t="s">
        <v>277</v>
      </c>
      <c r="AN6" t="s">
        <v>17</v>
      </c>
      <c r="AO6" t="s">
        <v>18</v>
      </c>
      <c r="AP6" t="s">
        <v>25</v>
      </c>
      <c r="AQ6" t="s">
        <v>20</v>
      </c>
      <c r="AR6" s="166" t="s">
        <v>346</v>
      </c>
    </row>
    <row r="7" spans="1:44" x14ac:dyDescent="0.4">
      <c r="D7" t="s">
        <v>143</v>
      </c>
      <c r="E7" s="62">
        <v>45284</v>
      </c>
      <c r="F7" s="62">
        <v>45318</v>
      </c>
      <c r="G7">
        <v>6</v>
      </c>
      <c r="H7" t="str">
        <f ca="1"/>
        <v>2026W17</v>
      </c>
      <c r="I7">
        <v>3</v>
      </c>
      <c r="J7" s="55">
        <v>0.15</v>
      </c>
      <c r="K7">
        <v>3</v>
      </c>
      <c r="L7" s="55">
        <v>0.15</v>
      </c>
      <c r="M7">
        <v>3</v>
      </c>
      <c r="N7" s="55">
        <v>0.15</v>
      </c>
      <c r="Q7" s="8" t="s">
        <v>61</v>
      </c>
      <c r="R7" s="52">
        <f ca="1">SUMIFS(Data[Booking Amount - Net to Cisco],Data[Track],R$2,Data[Current stage],$Q7, Data[Maximum Incentive Deal Flag],"Yes",Data[Booking Date],"&gt;"&amp;EDATE(TODAY()-DAY(TODAY())+1,-17))</f>
        <v>0</v>
      </c>
      <c r="S7" s="52">
        <f ca="1">SUMIFS(Data[Booking Amount - Net to Cisco],Data[Track],S$2,Data[Current stage],$Q7, Data[Maximum Incentive Deal Flag],"Yes",Data[Booking Date],"&gt;"&amp;EDATE(TODAY()-DAY(TODAY())+1,-17))</f>
        <v>0</v>
      </c>
      <c r="T7" s="52">
        <f ca="1">SUMIFS(Data[Booking Amount - Net to Cisco],Data[Track],T$2,Data[Current stage],$Q7, Data[Maximum Incentive Deal Flag],"Yes",Data[Booking Date],"&gt;"&amp;EDATE(TODAY()-DAY(TODAY())+1,-17))</f>
        <v>0</v>
      </c>
      <c r="U7" s="52">
        <f ca="1">SUMIFS(Data[Booking Amount - Net to Cisco],Data[Track],U$2,Data[Current stage],$Q7, Data[Maximum Incentive Deal Flag],"Yes",Data[Booking Date],"&gt;"&amp;EDATE(TODAY()-DAY(TODAY())+1,-17))</f>
        <v>0</v>
      </c>
      <c r="V7" s="52">
        <f ca="1">SUMIFS(Data[Booking Amount - Net to Cisco],Data[Track],V$2,Data[Current stage],$Q7, Data[Maximum Incentive Deal Flag],"Yes", Data[Booking Date],"&gt;"&amp;EDATE(TODAY()-DAY(TODAY())+1,-17))</f>
        <v>0</v>
      </c>
      <c r="W7" s="52">
        <f ca="1">SUMIFS(Data[Booking Amount - Net to Cisco],Data[Track],W$2,Data[Current stage],$Q7, Data[Maximum Incentive Deal Flag],"Yes", Data[Booking Date],"&gt;"&amp;EDATE(TODAY()-DAY(TODAY())+1,-17))</f>
        <v>0</v>
      </c>
      <c r="X7" s="52">
        <f ca="1">SUMIFS(Data[Booking Amount - Net to Cisco],Data[Track],X$2,Data[Current stage],$Q7, Data[Maximum Incentive Deal Flag],"Yes", Data[Booking Date],"&gt;"&amp;EDATE(TODAY()-DAY(TODAY())+1,-17))</f>
        <v>0</v>
      </c>
      <c r="Y7" s="52">
        <f ca="1">SUMIFS(Data[Booking Amount - Net to Cisco],Data[Track],Y$2,Data[Current stage],$Q7, Data[Maximum Incentive Deal Flag],"Yes", Data[Booking Date],"&gt;"&amp;EDATE(TODAY()-DAY(TODAY())+1,-17))</f>
        <v>0</v>
      </c>
      <c r="Z7" s="52">
        <f ca="1">SUMIFS(Data[Booking Amount - Net to Cisco],Data[Track],Z$2,Data[Current stage],$Q7, Data[Maximum Incentive Deal Flag],"Yes", Data[Booking Date],"&gt;"&amp;EDATE(TODAY()-DAY(TODAY())+1,-17))</f>
        <v>0</v>
      </c>
      <c r="AA7" s="52">
        <f ca="1">SUMIFS(Data[Booking Amount - Net to Cisco],Data[Track],AA$2,Data[Current stage],$Q7, Data[Maximum Incentive Deal Flag],"Yes", Data[Booking Date],"&gt;"&amp;EDATE(TODAY()-DAY(TODAY())+1,-17))</f>
        <v>0</v>
      </c>
      <c r="AB7" s="52">
        <f ca="1">SUMIFS(Data[Booking Amount - Net to Cisco],Data[Track],AB$2,Data[Current stage],$Q7, Data[Maximum Incentive Deal Flag],"Yes", Data[Booking Date],"&gt;"&amp;EDATE(TODAY()-DAY(TODAY())+1,-17))</f>
        <v>0</v>
      </c>
      <c r="AC7" s="52">
        <f ca="1">SUMIFS(Data[Booking Amount - Net to Cisco],Data[Track],AC$2,Data[Current stage],$Q7, Data[Maximum Incentive Deal Flag],"Yes", Data[Booking Date],"&gt;"&amp;EDATE(TODAY()-DAY(TODAY())+1,-17))</f>
        <v>0</v>
      </c>
      <c r="AD7" s="72" cm="1">
        <f t="array" aca="1" ref="AD7" ca="1">SUM(_xlfn._xlws.FILTER($R7:$AC7, ISNUMBER(MATCH($R$2:$AC$2, _xlfn._xlws.FILTER(Hierarchy[[Offer]:[Offer]], Hierarchy[[Domain]:[Domain]]=AD$2), 0)), 0))</f>
        <v>0</v>
      </c>
      <c r="AE7" s="72" cm="1">
        <f t="array" aca="1" ref="AE7" ca="1">SUM(_xlfn._xlws.FILTER($R7:$AC7, ISNUMBER(MATCH($R$2:$AC$2, _xlfn._xlws.FILTER(Hierarchy[[Offer]:[Offer]], Hierarchy[[Domain]:[Domain]]=AE$2), 0)), 0))</f>
        <v>0</v>
      </c>
      <c r="AF7" s="72" cm="1">
        <f t="array" aca="1" ref="AF7" ca="1">SUM(_xlfn._xlws.FILTER($R7:$AC7, ISNUMBER(MATCH($R$2:$AC$2, _xlfn._xlws.FILTER(Hierarchy[[Offer]:[Offer]], Hierarchy[[Domain]:[Domain]]=AF$2), 0)), 0))</f>
        <v>0</v>
      </c>
      <c r="AG7" s="72" cm="1">
        <f t="array" aca="1" ref="AG7" ca="1">SUM(_xlfn._xlws.FILTER($R7:$AC7, ISNUMBER(MATCH($R$2:$AC$2, _xlfn._xlws.FILTER(Hierarchy[[Offer]:[Offer]], Hierarchy[[Domain]:[Domain]]=AG$2), 0)), 0))</f>
        <v>0</v>
      </c>
      <c r="AH7" s="52">
        <f t="shared" ca="1" si="0"/>
        <v>0</v>
      </c>
      <c r="AJ7" t="s">
        <v>278</v>
      </c>
      <c r="AN7" t="s">
        <v>17</v>
      </c>
      <c r="AO7" t="s">
        <v>18</v>
      </c>
      <c r="AP7" t="s">
        <v>26</v>
      </c>
      <c r="AQ7" t="s">
        <v>20</v>
      </c>
      <c r="AR7" s="166" t="s">
        <v>353</v>
      </c>
    </row>
    <row r="8" spans="1:44" x14ac:dyDescent="0.4">
      <c r="D8" t="s">
        <v>144</v>
      </c>
      <c r="E8" s="62">
        <v>45319</v>
      </c>
      <c r="F8" s="62">
        <v>45346</v>
      </c>
      <c r="G8">
        <v>7</v>
      </c>
      <c r="H8" t="str">
        <f ca="1"/>
        <v>2026W16</v>
      </c>
      <c r="I8">
        <v>4</v>
      </c>
      <c r="J8" s="55">
        <v>0.2</v>
      </c>
      <c r="K8">
        <v>4</v>
      </c>
      <c r="L8" s="55">
        <v>0.2</v>
      </c>
      <c r="M8">
        <v>4</v>
      </c>
      <c r="N8" s="55">
        <v>0.2</v>
      </c>
      <c r="Q8" s="8" t="s">
        <v>62</v>
      </c>
      <c r="R8" s="52">
        <f ca="1">SUMIFS(Data[Booking Amount - Net to Cisco],Data[Track],R$2,Data[Current stage],$Q8, Data[Maximum Incentive Deal Flag],"Yes",Data[Booking Date],"&gt;"&amp;EDATE(TODAY()-DAY(TODAY())+1,-17))</f>
        <v>0</v>
      </c>
      <c r="S8" s="52">
        <f ca="1">SUMIFS(Data[Booking Amount - Net to Cisco],Data[Track],S$2,Data[Current stage],$Q8, Data[Maximum Incentive Deal Flag],"Yes",Data[Booking Date],"&gt;"&amp;EDATE(TODAY()-DAY(TODAY())+1,-17))</f>
        <v>0</v>
      </c>
      <c r="T8" s="52">
        <f ca="1">SUMIFS(Data[Booking Amount - Net to Cisco],Data[Track],T$2,Data[Current stage],$Q8, Data[Maximum Incentive Deal Flag],"Yes",Data[Booking Date],"&gt;"&amp;EDATE(TODAY()-DAY(TODAY())+1,-17))</f>
        <v>0</v>
      </c>
      <c r="U8" s="52">
        <f ca="1">SUMIFS(Data[Booking Amount - Net to Cisco],Data[Track],U$2,Data[Current stage],$Q8, Data[Maximum Incentive Deal Flag],"Yes",Data[Booking Date],"&gt;"&amp;EDATE(TODAY()-DAY(TODAY())+1,-17))</f>
        <v>0</v>
      </c>
      <c r="V8" s="52">
        <f ca="1">SUMIFS(Data[Booking Amount - Net to Cisco],Data[Track],V$2,Data[Current stage],$Q8, Data[Maximum Incentive Deal Flag],"Yes", Data[Booking Date],"&gt;"&amp;EDATE(TODAY()-DAY(TODAY())+1,-17))</f>
        <v>0</v>
      </c>
      <c r="W8" s="52">
        <f ca="1">SUMIFS(Data[Booking Amount - Net to Cisco],Data[Track],W$2,Data[Current stage],$Q8, Data[Maximum Incentive Deal Flag],"Yes", Data[Booking Date],"&gt;"&amp;EDATE(TODAY()-DAY(TODAY())+1,-17))</f>
        <v>0</v>
      </c>
      <c r="X8" s="52">
        <f ca="1">SUMIFS(Data[Booking Amount - Net to Cisco],Data[Track],X$2,Data[Current stage],$Q8, Data[Maximum Incentive Deal Flag],"Yes", Data[Booking Date],"&gt;"&amp;EDATE(TODAY()-DAY(TODAY())+1,-17))</f>
        <v>0</v>
      </c>
      <c r="Y8" s="52">
        <f ca="1">SUMIFS(Data[Booking Amount - Net to Cisco],Data[Track],Y$2,Data[Current stage],$Q8, Data[Maximum Incentive Deal Flag],"Yes", Data[Booking Date],"&gt;"&amp;EDATE(TODAY()-DAY(TODAY())+1,-17))</f>
        <v>0</v>
      </c>
      <c r="Z8" s="52">
        <f ca="1">SUMIFS(Data[Booking Amount - Net to Cisco],Data[Track],Z$2,Data[Current stage],$Q8, Data[Maximum Incentive Deal Flag],"Yes", Data[Booking Date],"&gt;"&amp;EDATE(TODAY()-DAY(TODAY())+1,-17))</f>
        <v>0</v>
      </c>
      <c r="AA8" s="52">
        <f ca="1">SUMIFS(Data[Booking Amount - Net to Cisco],Data[Track],AA$2,Data[Current stage],$Q8, Data[Maximum Incentive Deal Flag],"Yes", Data[Booking Date],"&gt;"&amp;EDATE(TODAY()-DAY(TODAY())+1,-17))</f>
        <v>0</v>
      </c>
      <c r="AB8" s="52">
        <f ca="1">SUMIFS(Data[Booking Amount - Net to Cisco],Data[Track],AB$2,Data[Current stage],$Q8, Data[Maximum Incentive Deal Flag],"Yes", Data[Booking Date],"&gt;"&amp;EDATE(TODAY()-DAY(TODAY())+1,-17))</f>
        <v>0</v>
      </c>
      <c r="AC8" s="52">
        <f ca="1">SUMIFS(Data[Booking Amount - Net to Cisco],Data[Track],AC$2,Data[Current stage],$Q8, Data[Maximum Incentive Deal Flag],"Yes", Data[Booking Date],"&gt;"&amp;EDATE(TODAY()-DAY(TODAY())+1,-17))</f>
        <v>0</v>
      </c>
      <c r="AD8" s="72" cm="1">
        <f t="array" aca="1" ref="AD8" ca="1">SUM(_xlfn._xlws.FILTER($R8:$AC8, ISNUMBER(MATCH($R$2:$AC$2, _xlfn._xlws.FILTER(Hierarchy[[Offer]:[Offer]], Hierarchy[[Domain]:[Domain]]=AD$2), 0)), 0))</f>
        <v>0</v>
      </c>
      <c r="AE8" s="72" cm="1">
        <f t="array" aca="1" ref="AE8" ca="1">SUM(_xlfn._xlws.FILTER($R8:$AC8, ISNUMBER(MATCH($R$2:$AC$2, _xlfn._xlws.FILTER(Hierarchy[[Offer]:[Offer]], Hierarchy[[Domain]:[Domain]]=AE$2), 0)), 0))</f>
        <v>0</v>
      </c>
      <c r="AF8" s="72" cm="1">
        <f t="array" aca="1" ref="AF8" ca="1">SUM(_xlfn._xlws.FILTER($R8:$AC8, ISNUMBER(MATCH($R$2:$AC$2, _xlfn._xlws.FILTER(Hierarchy[[Offer]:[Offer]], Hierarchy[[Domain]:[Domain]]=AF$2), 0)), 0))</f>
        <v>0</v>
      </c>
      <c r="AG8" s="72" cm="1">
        <f t="array" aca="1" ref="AG8" ca="1">SUM(_xlfn._xlws.FILTER($R8:$AC8, ISNUMBER(MATCH($R$2:$AC$2, _xlfn._xlws.FILTER(Hierarchy[[Offer]:[Offer]], Hierarchy[[Domain]:[Domain]]=AG$2), 0)), 0))</f>
        <v>0</v>
      </c>
      <c r="AH8" s="52">
        <f t="shared" ca="1" si="0"/>
        <v>0</v>
      </c>
      <c r="AJ8" t="s">
        <v>279</v>
      </c>
      <c r="AN8" t="s">
        <v>17</v>
      </c>
      <c r="AO8" t="s">
        <v>18</v>
      </c>
      <c r="AP8" t="s">
        <v>27</v>
      </c>
      <c r="AQ8" t="s">
        <v>20</v>
      </c>
      <c r="AR8" s="166" t="s">
        <v>352</v>
      </c>
    </row>
    <row r="9" spans="1:44" ht="15" thickBot="1" x14ac:dyDescent="0.45">
      <c r="D9" t="s">
        <v>145</v>
      </c>
      <c r="E9" s="62">
        <v>45347</v>
      </c>
      <c r="F9" s="62">
        <v>45374</v>
      </c>
      <c r="G9">
        <v>8</v>
      </c>
      <c r="H9" t="str">
        <f ca="1"/>
        <v>2026W15</v>
      </c>
      <c r="I9">
        <v>5</v>
      </c>
      <c r="J9" s="55">
        <v>0.25</v>
      </c>
      <c r="K9">
        <v>5</v>
      </c>
      <c r="L9" s="55">
        <v>0.25</v>
      </c>
      <c r="M9">
        <v>5</v>
      </c>
      <c r="N9" s="55">
        <v>0.25</v>
      </c>
      <c r="Q9" s="8" t="s">
        <v>63</v>
      </c>
      <c r="R9" s="52">
        <f ca="1">SUMIFS(Data[Booking Amount - Net to Cisco],Data[Track],R$2,Data[Current stage],$Q9, Data[Maximum Incentive Deal Flag],"Yes",Data[Booking Date],"&gt;"&amp;EDATE(TODAY()-DAY(TODAY())+1,-17))</f>
        <v>0</v>
      </c>
      <c r="S9" s="52">
        <f ca="1">SUMIFS(Data[Booking Amount - Net to Cisco],Data[Track],S$2,Data[Current stage],$Q9, Data[Maximum Incentive Deal Flag],"Yes",Data[Booking Date],"&gt;"&amp;EDATE(TODAY()-DAY(TODAY())+1,-17))</f>
        <v>0</v>
      </c>
      <c r="T9" s="52">
        <f ca="1">SUMIFS(Data[Booking Amount - Net to Cisco],Data[Track],T$2,Data[Current stage],$Q9, Data[Maximum Incentive Deal Flag],"Yes",Data[Booking Date],"&gt;"&amp;EDATE(TODAY()-DAY(TODAY())+1,-17))</f>
        <v>0</v>
      </c>
      <c r="U9" s="52">
        <f ca="1">SUMIFS(Data[Booking Amount - Net to Cisco],Data[Track],U$2,Data[Current stage],$Q9, Data[Maximum Incentive Deal Flag],"Yes",Data[Booking Date],"&gt;"&amp;EDATE(TODAY()-DAY(TODAY())+1,-17))</f>
        <v>0</v>
      </c>
      <c r="V9" s="52">
        <f ca="1">SUMIFS(Data[Booking Amount - Net to Cisco],Data[Track],V$2,Data[Current stage],$Q9, Data[Maximum Incentive Deal Flag],"Yes", Data[Booking Date],"&gt;"&amp;EDATE(TODAY()-DAY(TODAY())+1,-17))</f>
        <v>0</v>
      </c>
      <c r="W9" s="52">
        <f ca="1">SUMIFS(Data[Booking Amount - Net to Cisco],Data[Track],W$2,Data[Current stage],$Q9, Data[Maximum Incentive Deal Flag],"Yes", Data[Booking Date],"&gt;"&amp;EDATE(TODAY()-DAY(TODAY())+1,-17))</f>
        <v>0</v>
      </c>
      <c r="X9" s="52">
        <f ca="1">SUMIFS(Data[Booking Amount - Net to Cisco],Data[Track],X$2,Data[Current stage],$Q9, Data[Maximum Incentive Deal Flag],"Yes", Data[Booking Date],"&gt;"&amp;EDATE(TODAY()-DAY(TODAY())+1,-17))</f>
        <v>0</v>
      </c>
      <c r="Y9" s="52">
        <f ca="1">SUMIFS(Data[Booking Amount - Net to Cisco],Data[Track],Y$2,Data[Current stage],$Q9, Data[Maximum Incentive Deal Flag],"Yes", Data[Booking Date],"&gt;"&amp;EDATE(TODAY()-DAY(TODAY())+1,-17))</f>
        <v>0</v>
      </c>
      <c r="Z9" s="52">
        <f ca="1">SUMIFS(Data[Booking Amount - Net to Cisco],Data[Track],Z$2,Data[Current stage],$Q9, Data[Maximum Incentive Deal Flag],"Yes", Data[Booking Date],"&gt;"&amp;EDATE(TODAY()-DAY(TODAY())+1,-17))</f>
        <v>0</v>
      </c>
      <c r="AA9" s="52">
        <f ca="1">SUMIFS(Data[Booking Amount - Net to Cisco],Data[Track],AA$2,Data[Current stage],$Q9, Data[Maximum Incentive Deal Flag],"Yes", Data[Booking Date],"&gt;"&amp;EDATE(TODAY()-DAY(TODAY())+1,-17))</f>
        <v>0</v>
      </c>
      <c r="AB9" s="52">
        <f ca="1">SUMIFS(Data[Booking Amount - Net to Cisco],Data[Track],AB$2,Data[Current stage],$Q9, Data[Maximum Incentive Deal Flag],"Yes", Data[Booking Date],"&gt;"&amp;EDATE(TODAY()-DAY(TODAY())+1,-17))</f>
        <v>0</v>
      </c>
      <c r="AC9" s="52">
        <f ca="1">SUMIFS(Data[Booking Amount - Net to Cisco],Data[Track],AC$2,Data[Current stage],$Q9, Data[Maximum Incentive Deal Flag],"Yes", Data[Booking Date],"&gt;"&amp;EDATE(TODAY()-DAY(TODAY())+1,-17))</f>
        <v>0</v>
      </c>
      <c r="AD9" s="72" cm="1">
        <f t="array" aca="1" ref="AD9" ca="1">SUM(_xlfn._xlws.FILTER($R9:$AC9, ISNUMBER(MATCH($R$2:$AC$2, _xlfn._xlws.FILTER(Hierarchy[[Offer]:[Offer]], Hierarchy[[Domain]:[Domain]]=AD$2), 0)), 0))</f>
        <v>0</v>
      </c>
      <c r="AE9" s="72" cm="1">
        <f t="array" aca="1" ref="AE9" ca="1">SUM(_xlfn._xlws.FILTER($R9:$AC9, ISNUMBER(MATCH($R$2:$AC$2, _xlfn._xlws.FILTER(Hierarchy[[Offer]:[Offer]], Hierarchy[[Domain]:[Domain]]=AE$2), 0)), 0))</f>
        <v>0</v>
      </c>
      <c r="AF9" s="72" cm="1">
        <f t="array" aca="1" ref="AF9" ca="1">SUM(_xlfn._xlws.FILTER($R9:$AC9, ISNUMBER(MATCH($R$2:$AC$2, _xlfn._xlws.FILTER(Hierarchy[[Offer]:[Offer]], Hierarchy[[Domain]:[Domain]]=AF$2), 0)), 0))</f>
        <v>0</v>
      </c>
      <c r="AG9" s="72" cm="1">
        <f t="array" aca="1" ref="AG9" ca="1">SUM(_xlfn._xlws.FILTER($R9:$AC9, ISNUMBER(MATCH($R$2:$AC$2, _xlfn._xlws.FILTER(Hierarchy[[Offer]:[Offer]], Hierarchy[[Domain]:[Domain]]=AG$2), 0)), 0))</f>
        <v>0</v>
      </c>
      <c r="AH9" s="52">
        <f t="shared" ca="1" si="0"/>
        <v>0</v>
      </c>
      <c r="AJ9" t="s">
        <v>280</v>
      </c>
      <c r="AN9" s="5" t="s">
        <v>17</v>
      </c>
      <c r="AO9" s="5" t="s">
        <v>18</v>
      </c>
      <c r="AP9" s="5" t="s">
        <v>28</v>
      </c>
      <c r="AQ9" t="s">
        <v>23</v>
      </c>
      <c r="AR9" s="166" t="s">
        <v>351</v>
      </c>
    </row>
    <row r="10" spans="1:44" x14ac:dyDescent="0.4">
      <c r="D10" t="s">
        <v>147</v>
      </c>
      <c r="E10" s="62">
        <v>45375</v>
      </c>
      <c r="F10" s="62">
        <v>45409</v>
      </c>
      <c r="G10">
        <v>9</v>
      </c>
      <c r="H10" t="str">
        <f ca="1"/>
        <v>2026W14</v>
      </c>
      <c r="I10">
        <v>6</v>
      </c>
      <c r="J10" s="55">
        <v>0.3</v>
      </c>
      <c r="K10">
        <v>6</v>
      </c>
      <c r="L10" s="55">
        <v>0.3</v>
      </c>
      <c r="M10">
        <v>6</v>
      </c>
      <c r="N10" s="55">
        <v>0.3</v>
      </c>
      <c r="Q10" s="8" t="s">
        <v>146</v>
      </c>
      <c r="R10" s="52">
        <f t="shared" ref="R10:AC10" ca="1" si="1">SUM(R3:R9)</f>
        <v>0</v>
      </c>
      <c r="S10" s="52">
        <f t="shared" ca="1" si="1"/>
        <v>0</v>
      </c>
      <c r="T10" s="52">
        <f t="shared" ca="1" si="1"/>
        <v>0</v>
      </c>
      <c r="U10" s="52">
        <f t="shared" ca="1" si="1"/>
        <v>0</v>
      </c>
      <c r="V10" s="52">
        <f t="shared" ca="1" si="1"/>
        <v>0</v>
      </c>
      <c r="W10" s="52">
        <f t="shared" ca="1" si="1"/>
        <v>0</v>
      </c>
      <c r="X10" s="52">
        <f t="shared" ca="1" si="1"/>
        <v>0</v>
      </c>
      <c r="Y10" s="52">
        <f t="shared" ca="1" si="1"/>
        <v>0</v>
      </c>
      <c r="Z10" s="52">
        <f t="shared" ca="1" si="1"/>
        <v>0</v>
      </c>
      <c r="AA10" s="52">
        <f t="shared" ca="1" si="1"/>
        <v>0</v>
      </c>
      <c r="AB10" s="52">
        <f t="shared" ca="1" si="1"/>
        <v>0</v>
      </c>
      <c r="AC10" s="52">
        <f t="shared" ca="1" si="1"/>
        <v>0</v>
      </c>
      <c r="AD10" s="72" cm="1">
        <f t="array" aca="1" ref="AD10" ca="1">SUM(_xlfn._xlws.FILTER($R10:$AC10, ISNUMBER(MATCH($R$2:$AC$2, _xlfn._xlws.FILTER(Hierarchy[[Offer]:[Offer]], Hierarchy[[Domain]:[Domain]]=AD$2), 0)), 0))</f>
        <v>0</v>
      </c>
      <c r="AE10" s="72" cm="1">
        <f t="array" aca="1" ref="AE10" ca="1">SUM(_xlfn._xlws.FILTER($R10:$AC10, ISNUMBER(MATCH($R$2:$AC$2, _xlfn._xlws.FILTER(Hierarchy[[Offer]:[Offer]], Hierarchy[[Domain]:[Domain]]=AE$2), 0)), 0))</f>
        <v>0</v>
      </c>
      <c r="AF10" s="72" cm="1">
        <f t="array" aca="1" ref="AF10" ca="1">SUM(_xlfn._xlws.FILTER($R10:$AC10, ISNUMBER(MATCH($R$2:$AC$2, _xlfn._xlws.FILTER(Hierarchy[[Offer]:[Offer]], Hierarchy[[Domain]:[Domain]]=AF$2), 0)), 0))</f>
        <v>0</v>
      </c>
      <c r="AG10" s="72" cm="1">
        <f t="array" aca="1" ref="AG10" ca="1">SUM(_xlfn._xlws.FILTER($R10:$AC10, ISNUMBER(MATCH($R$2:$AC$2, _xlfn._xlws.FILTER(Hierarchy[[Offer]:[Offer]], Hierarchy[[Domain]:[Domain]]=AG$2), 0)), 0))</f>
        <v>0</v>
      </c>
      <c r="AH10" s="70">
        <f ca="1">SUM(AH3:AH9)</f>
        <v>0</v>
      </c>
      <c r="AJ10" t="s">
        <v>281</v>
      </c>
      <c r="AN10" s="4" t="s">
        <v>17</v>
      </c>
      <c r="AO10" s="4" t="s">
        <v>29</v>
      </c>
      <c r="AP10" s="4" t="s">
        <v>30</v>
      </c>
      <c r="AQ10" t="s">
        <v>20</v>
      </c>
      <c r="AR10" s="166" t="s">
        <v>357</v>
      </c>
    </row>
    <row r="11" spans="1:44" ht="15" thickBot="1" x14ac:dyDescent="0.45">
      <c r="D11" t="s">
        <v>149</v>
      </c>
      <c r="E11" s="62">
        <v>45410</v>
      </c>
      <c r="F11" s="62">
        <v>45437</v>
      </c>
      <c r="G11">
        <v>10</v>
      </c>
      <c r="H11" t="str">
        <f ca="1"/>
        <v>2026W13</v>
      </c>
      <c r="I11">
        <v>7</v>
      </c>
      <c r="J11" s="55">
        <v>0.35</v>
      </c>
      <c r="K11">
        <v>7</v>
      </c>
      <c r="L11" s="55">
        <v>0.35</v>
      </c>
      <c r="M11">
        <v>7</v>
      </c>
      <c r="N11" s="55">
        <v>0.35</v>
      </c>
      <c r="AC11" t="s">
        <v>148</v>
      </c>
      <c r="AD11" s="52">
        <f ca="1">AD3+AD4</f>
        <v>0</v>
      </c>
      <c r="AE11" s="52">
        <f t="shared" ref="AE11:AG11" ca="1" si="2">AE3+AE4</f>
        <v>0</v>
      </c>
      <c r="AF11" s="52">
        <f t="shared" ca="1" si="2"/>
        <v>0</v>
      </c>
      <c r="AG11" s="52">
        <f t="shared" ca="1" si="2"/>
        <v>0</v>
      </c>
      <c r="AJ11" t="s">
        <v>282</v>
      </c>
      <c r="AN11" s="5" t="s">
        <v>17</v>
      </c>
      <c r="AO11" s="5" t="s">
        <v>29</v>
      </c>
      <c r="AP11" s="5" t="s">
        <v>31</v>
      </c>
      <c r="AQ11" t="s">
        <v>23</v>
      </c>
      <c r="AR11" s="166" t="s">
        <v>358</v>
      </c>
    </row>
    <row r="12" spans="1:44" x14ac:dyDescent="0.4">
      <c r="D12" t="s">
        <v>151</v>
      </c>
      <c r="E12" s="62">
        <v>45438</v>
      </c>
      <c r="F12" s="62">
        <v>45465</v>
      </c>
      <c r="G12">
        <v>11</v>
      </c>
      <c r="H12" t="str">
        <f ca="1"/>
        <v>2026W12</v>
      </c>
      <c r="I12">
        <v>8</v>
      </c>
      <c r="J12" s="55">
        <v>0.4</v>
      </c>
      <c r="K12">
        <v>8</v>
      </c>
      <c r="L12" s="55">
        <v>0.4</v>
      </c>
      <c r="M12">
        <v>8</v>
      </c>
      <c r="N12" s="55">
        <v>0.4</v>
      </c>
      <c r="AC12" t="s">
        <v>150</v>
      </c>
      <c r="AD12" s="52">
        <f ca="1">AD5+AD6</f>
        <v>0</v>
      </c>
      <c r="AE12" s="52">
        <f t="shared" ref="AE12:AG12" ca="1" si="3">AE5+AE6</f>
        <v>0</v>
      </c>
      <c r="AF12" s="52">
        <f t="shared" ca="1" si="3"/>
        <v>0</v>
      </c>
      <c r="AG12" s="52">
        <f t="shared" ca="1" si="3"/>
        <v>0</v>
      </c>
      <c r="AJ12" t="s">
        <v>283</v>
      </c>
      <c r="AN12" s="4" t="s">
        <v>17</v>
      </c>
      <c r="AO12" s="4" t="s">
        <v>32</v>
      </c>
      <c r="AP12" s="4" t="s">
        <v>262</v>
      </c>
      <c r="AQ12" t="s">
        <v>23</v>
      </c>
      <c r="AR12" s="166" t="s">
        <v>355</v>
      </c>
    </row>
    <row r="13" spans="1:44" x14ac:dyDescent="0.4">
      <c r="D13" t="s">
        <v>153</v>
      </c>
      <c r="E13" s="62">
        <v>45466</v>
      </c>
      <c r="F13" s="62">
        <v>45500</v>
      </c>
      <c r="G13">
        <v>12</v>
      </c>
      <c r="H13" t="str">
        <f ca="1"/>
        <v>2026W11</v>
      </c>
      <c r="I13">
        <v>9</v>
      </c>
      <c r="J13" s="55">
        <v>0.45</v>
      </c>
      <c r="K13">
        <v>9</v>
      </c>
      <c r="L13" s="55">
        <v>0.45</v>
      </c>
      <c r="M13">
        <v>9</v>
      </c>
      <c r="N13" s="55">
        <v>0.45</v>
      </c>
      <c r="AC13" t="s">
        <v>152</v>
      </c>
      <c r="AD13" s="52">
        <f ca="1">SUM(AD7:AD9)</f>
        <v>0</v>
      </c>
      <c r="AE13" s="52">
        <f t="shared" ref="AE13:AG13" ca="1" si="4">SUM(AE7:AE9)</f>
        <v>0</v>
      </c>
      <c r="AF13" s="52">
        <f t="shared" ca="1" si="4"/>
        <v>0</v>
      </c>
      <c r="AG13" s="52">
        <f t="shared" ca="1" si="4"/>
        <v>0</v>
      </c>
      <c r="AJ13" t="s">
        <v>284</v>
      </c>
      <c r="AN13" t="s">
        <v>17</v>
      </c>
      <c r="AO13" t="s">
        <v>32</v>
      </c>
      <c r="AP13" t="s">
        <v>33</v>
      </c>
      <c r="AQ13" t="s">
        <v>20</v>
      </c>
      <c r="AR13" s="166" t="s">
        <v>356</v>
      </c>
    </row>
    <row r="14" spans="1:44" ht="15" thickBot="1" x14ac:dyDescent="0.45">
      <c r="D14" t="s">
        <v>154</v>
      </c>
      <c r="E14" s="62">
        <v>45501</v>
      </c>
      <c r="F14" s="62">
        <v>45528</v>
      </c>
      <c r="G14">
        <v>13</v>
      </c>
      <c r="I14">
        <v>10</v>
      </c>
      <c r="J14" s="55"/>
      <c r="K14">
        <v>10</v>
      </c>
      <c r="L14" s="55"/>
      <c r="M14">
        <v>10</v>
      </c>
      <c r="N14" s="55"/>
      <c r="AJ14" t="s">
        <v>285</v>
      </c>
      <c r="AN14" s="5" t="s">
        <v>17</v>
      </c>
      <c r="AO14" s="5" t="s">
        <v>32</v>
      </c>
      <c r="AP14" s="5" t="s">
        <v>34</v>
      </c>
      <c r="AQ14" t="s">
        <v>23</v>
      </c>
      <c r="AR14" s="166" t="s">
        <v>354</v>
      </c>
    </row>
    <row r="15" spans="1:44" ht="15" thickBot="1" x14ac:dyDescent="0.45">
      <c r="D15" t="s">
        <v>155</v>
      </c>
      <c r="E15" s="62">
        <v>45529</v>
      </c>
      <c r="F15" s="62">
        <v>45556</v>
      </c>
      <c r="G15">
        <v>14</v>
      </c>
      <c r="I15" s="267" t="s">
        <v>62</v>
      </c>
      <c r="J15" s="267"/>
      <c r="K15" s="267"/>
      <c r="L15" s="267"/>
      <c r="M15" s="267"/>
      <c r="N15" s="267"/>
      <c r="AJ15" t="s">
        <v>286</v>
      </c>
      <c r="AN15" s="5" t="s">
        <v>35</v>
      </c>
      <c r="AO15" s="5" t="s">
        <v>343</v>
      </c>
      <c r="AP15" s="5" t="s">
        <v>263</v>
      </c>
      <c r="AQ15" t="s">
        <v>20</v>
      </c>
      <c r="AR15" s="166" t="s">
        <v>370</v>
      </c>
    </row>
    <row r="16" spans="1:44" ht="15" thickBot="1" x14ac:dyDescent="0.45">
      <c r="D16" t="s">
        <v>156</v>
      </c>
      <c r="E16" s="62">
        <v>45557</v>
      </c>
      <c r="F16" s="62">
        <v>45591</v>
      </c>
      <c r="G16">
        <v>15</v>
      </c>
      <c r="I16">
        <v>0</v>
      </c>
      <c r="J16" s="55">
        <v>-0.01</v>
      </c>
      <c r="K16">
        <v>0</v>
      </c>
      <c r="L16" s="55">
        <v>-0.01</v>
      </c>
      <c r="M16">
        <v>0</v>
      </c>
      <c r="N16" s="55">
        <v>-0.01</v>
      </c>
      <c r="AJ16" t="s">
        <v>287</v>
      </c>
      <c r="AN16" s="6" t="s">
        <v>35</v>
      </c>
      <c r="AO16" s="6" t="s">
        <v>36</v>
      </c>
      <c r="AP16" s="6" t="s">
        <v>37</v>
      </c>
      <c r="AQ16" t="s">
        <v>20</v>
      </c>
      <c r="AR16" s="166" t="s">
        <v>371</v>
      </c>
    </row>
    <row r="17" spans="4:44" x14ac:dyDescent="0.4">
      <c r="D17" t="s">
        <v>157</v>
      </c>
      <c r="E17" s="62">
        <v>45592</v>
      </c>
      <c r="F17" s="62">
        <v>45619</v>
      </c>
      <c r="G17">
        <v>16</v>
      </c>
      <c r="I17">
        <v>1</v>
      </c>
      <c r="J17" s="55">
        <v>-0.01</v>
      </c>
      <c r="K17">
        <v>1</v>
      </c>
      <c r="L17" s="55">
        <v>-0.01</v>
      </c>
      <c r="M17">
        <v>1</v>
      </c>
      <c r="N17" s="55">
        <v>-0.01</v>
      </c>
      <c r="Q17" s="9" t="s">
        <v>221</v>
      </c>
      <c r="R17" s="8" t="str">
        <f t="shared" ref="R17:AC17" si="5">R2</f>
        <v>Catalyst Center</v>
      </c>
      <c r="S17" s="8" t="str">
        <f t="shared" si="5"/>
        <v>Meraki</v>
      </c>
      <c r="T17" s="8" t="str">
        <f t="shared" si="5"/>
        <v>SD WAN</v>
      </c>
      <c r="U17" s="8" t="str">
        <f t="shared" si="5"/>
        <v>Cisco Secure Network Analytics</v>
      </c>
      <c r="V17" s="8" t="str">
        <f t="shared" si="5"/>
        <v>Duo</v>
      </c>
      <c r="W17" s="8" t="str">
        <f t="shared" si="5"/>
        <v>Cisco Umbrella</v>
      </c>
      <c r="X17" s="8" t="str">
        <f t="shared" si="5"/>
        <v>Cisco Secure Firewall</v>
      </c>
      <c r="Y17" s="8" t="str">
        <f>Y2</f>
        <v>Identity Services Engine</v>
      </c>
      <c r="Z17" s="8" t="str">
        <f t="shared" si="5"/>
        <v>Cisco Intersight</v>
      </c>
      <c r="AA17" s="8" t="str">
        <f t="shared" si="5"/>
        <v>Data Center Networking</v>
      </c>
      <c r="AB17" s="8" t="str">
        <f t="shared" si="5"/>
        <v>Webex Suite</v>
      </c>
      <c r="AC17" s="8" t="str">
        <f t="shared" si="5"/>
        <v>Cisco Contact Center</v>
      </c>
      <c r="AD17" s="71" t="str">
        <f>AD2</f>
        <v>Networking</v>
      </c>
      <c r="AE17" s="71" t="str">
        <f>AE2</f>
        <v>Security</v>
      </c>
      <c r="AF17" s="71" t="str">
        <f>AF2</f>
        <v>Cloud + AI Infrastructure</v>
      </c>
      <c r="AG17" s="71" t="str">
        <f>AG2</f>
        <v>Collaboration</v>
      </c>
      <c r="AJ17" t="s">
        <v>288</v>
      </c>
      <c r="AN17" s="4" t="s">
        <v>35</v>
      </c>
      <c r="AO17" s="4" t="s">
        <v>38</v>
      </c>
      <c r="AP17" s="4" t="s">
        <v>39</v>
      </c>
      <c r="AQ17" t="s">
        <v>20</v>
      </c>
      <c r="AR17" s="166" t="s">
        <v>368</v>
      </c>
    </row>
    <row r="18" spans="4:44" ht="15" thickBot="1" x14ac:dyDescent="0.45">
      <c r="D18" t="s">
        <v>158</v>
      </c>
      <c r="E18" s="62">
        <v>45620</v>
      </c>
      <c r="F18" s="62">
        <v>45647</v>
      </c>
      <c r="G18">
        <v>17</v>
      </c>
      <c r="I18">
        <v>2</v>
      </c>
      <c r="J18" s="55">
        <v>-0.01</v>
      </c>
      <c r="K18">
        <v>2</v>
      </c>
      <c r="L18" s="55">
        <v>-0.01</v>
      </c>
      <c r="M18">
        <v>2</v>
      </c>
      <c r="N18" s="55">
        <v>-0.01</v>
      </c>
      <c r="P18" s="262" t="s">
        <v>220</v>
      </c>
      <c r="Q18" s="82" t="s">
        <v>74</v>
      </c>
      <c r="R18" s="83">
        <f>SUMIFS(Data[Revised Maximum Incentive Amount],Data[Maximum Incentive Deal Flag],"Yes",Data[Stage],"Eligible",Data[Track],R17)</f>
        <v>0</v>
      </c>
      <c r="S18" s="83">
        <f>SUMIFS(Data[Revised Maximum Incentive Amount],Data[Maximum Incentive Deal Flag],"Yes",Data[Stage],"Eligible",Data[Track],S17)</f>
        <v>0</v>
      </c>
      <c r="T18" s="83">
        <f>SUMIFS(Data[Revised Maximum Incentive Amount],Data[Maximum Incentive Deal Flag],"Yes",Data[Stage],"Eligible",Data[Track],T17)</f>
        <v>0</v>
      </c>
      <c r="U18" s="83">
        <f>SUMIFS(Data[Revised Maximum Incentive Amount],Data[Maximum Incentive Deal Flag],"Yes",Data[Stage],"Eligible",Data[Track],U17)</f>
        <v>0</v>
      </c>
      <c r="V18" s="83">
        <f>SUMIFS(Data[Revised Maximum Incentive Amount],Data[Maximum Incentive Deal Flag],"Yes",Data[Stage],"Eligible",Data[Track],V17)</f>
        <v>0</v>
      </c>
      <c r="W18" s="83">
        <f>SUMIFS(Data[Revised Maximum Incentive Amount],Data[Maximum Incentive Deal Flag],"Yes",Data[Stage],"Eligible",Data[Track],W17)</f>
        <v>0</v>
      </c>
      <c r="X18" s="83">
        <f>SUMIFS(Data[Revised Maximum Incentive Amount],Data[Maximum Incentive Deal Flag],"Yes",Data[Stage],"Eligible",Data[Track],X17)</f>
        <v>0</v>
      </c>
      <c r="Y18" s="83">
        <f>SUMIFS(Data[Revised Maximum Incentive Amount],Data[Maximum Incentive Deal Flag],"Yes",Data[Stage],"Eligible",Data[Track],Y17)</f>
        <v>0</v>
      </c>
      <c r="Z18" s="83">
        <f>SUMIFS(Data[Revised Maximum Incentive Amount],Data[Maximum Incentive Deal Flag],"Yes",Data[Stage],"Eligible",Data[Track],Z17)</f>
        <v>0</v>
      </c>
      <c r="AA18" s="83">
        <f>SUMIFS(Data[Revised Maximum Incentive Amount],Data[Maximum Incentive Deal Flag],"Yes",Data[Stage],"Eligible",Data[Track],AA17)</f>
        <v>0</v>
      </c>
      <c r="AB18" s="83">
        <f>SUMIFS(Data[Revised Maximum Incentive Amount],Data[Maximum Incentive Deal Flag],"Yes",Data[Stage],"Eligible",Data[Track],AB17)</f>
        <v>0</v>
      </c>
      <c r="AC18" s="83">
        <f>SUMIFS(Data[Revised Maximum Incentive Amount],Data[Maximum Incentive Deal Flag],"Yes",Data[Stage],"Eligible",Data[Track],AC17)</f>
        <v>0</v>
      </c>
      <c r="AD18" s="92" cm="1">
        <f t="array" ref="AD18">SUM(_xlfn._xlws.FILTER($R18:$AC18, ISNUMBER(MATCH($R$17:$AC$17, _xlfn._xlws.FILTER(Hierarchy[[Offer]:[Offer]], Hierarchy[[Domain]:[Domain]]=AD$17), 0)), 0))</f>
        <v>0</v>
      </c>
      <c r="AE18" s="92" cm="1">
        <f t="array" ref="AE18">SUM(_xlfn._xlws.FILTER($R18:$AC18, ISNUMBER(MATCH($R$17:$AC$17, _xlfn._xlws.FILTER(Hierarchy[[Offer]:[Offer]], Hierarchy[[Domain]:[Domain]]=AE$17), 0)), 0))</f>
        <v>0</v>
      </c>
      <c r="AF18" s="92" cm="1">
        <f t="array" ref="AF18">SUM(_xlfn._xlws.FILTER($R18:$AC18, ISNUMBER(MATCH($R$17:$AC$17, _xlfn._xlws.FILTER(Hierarchy[[Offer]:[Offer]], Hierarchy[[Domain]:[Domain]]=AF$17), 0)), 0))</f>
        <v>0</v>
      </c>
      <c r="AG18" s="92" cm="1">
        <f t="array" ref="AG18">SUM(_xlfn._xlws.FILTER($R18:$AC18, ISNUMBER(MATCH($R$17:$AC$17, _xlfn._xlws.FILTER(Hierarchy[[Offer]:[Offer]], Hierarchy[[Domain]:[Domain]]=AG$17), 0)), 0))</f>
        <v>0</v>
      </c>
      <c r="AJ18" t="s">
        <v>289</v>
      </c>
      <c r="AN18" s="5" t="s">
        <v>35</v>
      </c>
      <c r="AO18" s="5" t="s">
        <v>38</v>
      </c>
      <c r="AP18" s="5" t="s">
        <v>40</v>
      </c>
      <c r="AQ18" t="s">
        <v>23</v>
      </c>
      <c r="AR18" s="166" t="s">
        <v>369</v>
      </c>
    </row>
    <row r="19" spans="4:44" x14ac:dyDescent="0.4">
      <c r="D19" t="s">
        <v>159</v>
      </c>
      <c r="E19" s="62">
        <v>45648</v>
      </c>
      <c r="F19" s="62">
        <v>45682</v>
      </c>
      <c r="G19">
        <v>18</v>
      </c>
      <c r="I19">
        <v>3</v>
      </c>
      <c r="J19" s="55">
        <v>-0.01</v>
      </c>
      <c r="K19">
        <v>3</v>
      </c>
      <c r="L19" s="55">
        <v>-0.01</v>
      </c>
      <c r="M19">
        <v>3</v>
      </c>
      <c r="N19" s="55">
        <v>-0.01</v>
      </c>
      <c r="P19" s="263"/>
      <c r="Q19" s="82" t="s">
        <v>202</v>
      </c>
      <c r="R19" s="83">
        <f>SUMIFS(Data[Revised Maximum Incentive Amount],Data[Maximum Incentive Deal Flag],"Yes",Data[Stage],"Eligible",Data[Track],R17,Data[Adopt Rebate Opt-In Status],"Opted In")</f>
        <v>0</v>
      </c>
      <c r="S19" s="83">
        <f>SUMIFS(Data[Revised Maximum Incentive Amount],Data[Maximum Incentive Deal Flag],"Yes",Data[Stage],"Eligible",Data[Track],S17,Data[Adopt Rebate Opt-In Status],"Opted In")</f>
        <v>0</v>
      </c>
      <c r="T19" s="83">
        <f>SUMIFS(Data[Revised Maximum Incentive Amount],Data[Maximum Incentive Deal Flag],"Yes",Data[Stage],"Eligible",Data[Track],T17,Data[Adopt Rebate Opt-In Status],"Opted In")</f>
        <v>0</v>
      </c>
      <c r="U19" s="83">
        <f>SUMIFS(Data[Revised Maximum Incentive Amount],Data[Maximum Incentive Deal Flag],"Yes",Data[Stage],"Eligible",Data[Track],U17,Data[Adopt Rebate Opt-In Status],"Opted In")</f>
        <v>0</v>
      </c>
      <c r="V19" s="83">
        <f>SUMIFS(Data[Revised Maximum Incentive Amount],Data[Maximum Incentive Deal Flag],"Yes",Data[Stage],"Eligible",Data[Track],V17,Data[Adopt Rebate Opt-In Status],"Opted In")</f>
        <v>0</v>
      </c>
      <c r="W19" s="83">
        <f>SUMIFS(Data[Revised Maximum Incentive Amount],Data[Maximum Incentive Deal Flag],"Yes",Data[Stage],"Eligible",Data[Track],W17,Data[Adopt Rebate Opt-In Status],"Opted In")</f>
        <v>0</v>
      </c>
      <c r="X19" s="83">
        <f>SUMIFS(Data[Revised Maximum Incentive Amount],Data[Maximum Incentive Deal Flag],"Yes",Data[Stage],"Eligible",Data[Track],X17,Data[Adopt Rebate Opt-In Status],"Opted In")</f>
        <v>0</v>
      </c>
      <c r="Y19" s="83">
        <f>SUMIFS(Data[Revised Maximum Incentive Amount],Data[Maximum Incentive Deal Flag],"Yes",Data[Stage],"Eligible",Data[Track],Y17,Data[Adopt Rebate Opt-In Status],"Opted In")</f>
        <v>0</v>
      </c>
      <c r="Z19" s="83">
        <f>SUMIFS(Data[Revised Maximum Incentive Amount],Data[Maximum Incentive Deal Flag],"Yes",Data[Stage],"Eligible",Data[Track],Z17,Data[Adopt Rebate Opt-In Status],"Opted In")</f>
        <v>0</v>
      </c>
      <c r="AA19" s="83">
        <f>SUMIFS(Data[Revised Maximum Incentive Amount],Data[Maximum Incentive Deal Flag],"Yes",Data[Stage],"Eligible",Data[Track],AA17,Data[Adopt Rebate Opt-In Status],"Opted In")</f>
        <v>0</v>
      </c>
      <c r="AB19" s="83">
        <f>SUMIFS(Data[Revised Maximum Incentive Amount],Data[Maximum Incentive Deal Flag],"Yes",Data[Stage],"Eligible",Data[Track],AB17,Data[Adopt Rebate Opt-In Status],"Opted In")</f>
        <v>0</v>
      </c>
      <c r="AC19" s="83">
        <f>SUMIFS(Data[Revised Maximum Incentive Amount],Data[Maximum Incentive Deal Flag],"Yes",Data[Stage],"Eligible",Data[Track],AC17,Data[Adopt Rebate Opt-In Status],"Opted In")</f>
        <v>0</v>
      </c>
      <c r="AD19" s="92" cm="1">
        <f t="array" ref="AD19">SUM(_xlfn._xlws.FILTER($R19:$AC19, ISNUMBER(MATCH($R$17:$AC$17, _xlfn._xlws.FILTER(Hierarchy[[Offer]:[Offer]], Hierarchy[[Domain]:[Domain]]=AD$17), 0)), 0))</f>
        <v>0</v>
      </c>
      <c r="AE19" s="92" cm="1">
        <f t="array" ref="AE19">SUM(_xlfn._xlws.FILTER($R19:$AC19, ISNUMBER(MATCH($R$17:$AC$17, _xlfn._xlws.FILTER(Hierarchy[[Offer]:[Offer]], Hierarchy[[Domain]:[Domain]]=AE$17), 0)), 0))</f>
        <v>0</v>
      </c>
      <c r="AF19" s="92" cm="1">
        <f t="array" ref="AF19">SUM(_xlfn._xlws.FILTER($R19:$AC19, ISNUMBER(MATCH($R$17:$AC$17, _xlfn._xlws.FILTER(Hierarchy[[Offer]:[Offer]], Hierarchy[[Domain]:[Domain]]=AF$17), 0)), 0))</f>
        <v>0</v>
      </c>
      <c r="AG19" s="92" cm="1">
        <f t="array" ref="AG19">SUM(_xlfn._xlws.FILTER($R19:$AC19, ISNUMBER(MATCH($R$17:$AC$17, _xlfn._xlws.FILTER(Hierarchy[[Offer]:[Offer]], Hierarchy[[Domain]:[Domain]]=AG$17), 0)), 0))</f>
        <v>0</v>
      </c>
      <c r="AJ19" t="s">
        <v>290</v>
      </c>
      <c r="AN19" s="4" t="s">
        <v>35</v>
      </c>
      <c r="AO19" s="4" t="s">
        <v>41</v>
      </c>
      <c r="AP19" s="4" t="s">
        <v>42</v>
      </c>
      <c r="AQ19" t="s">
        <v>23</v>
      </c>
      <c r="AR19" s="166" t="s">
        <v>367</v>
      </c>
    </row>
    <row r="20" spans="4:44" ht="15" thickBot="1" x14ac:dyDescent="0.45">
      <c r="D20" t="s">
        <v>160</v>
      </c>
      <c r="E20" s="62">
        <v>45683</v>
      </c>
      <c r="F20" s="62">
        <v>45710</v>
      </c>
      <c r="G20">
        <v>19</v>
      </c>
      <c r="I20">
        <v>4</v>
      </c>
      <c r="J20" s="55">
        <v>-0.01</v>
      </c>
      <c r="K20">
        <v>4</v>
      </c>
      <c r="L20" s="55">
        <v>-0.01</v>
      </c>
      <c r="M20">
        <v>4</v>
      </c>
      <c r="N20" s="55">
        <v>-0.01</v>
      </c>
      <c r="P20" s="264"/>
      <c r="Q20" s="82" t="s">
        <v>204</v>
      </c>
      <c r="R20" s="83">
        <f t="shared" ref="R20:AC20" si="6">R18-R19</f>
        <v>0</v>
      </c>
      <c r="S20" s="83">
        <f t="shared" si="6"/>
        <v>0</v>
      </c>
      <c r="T20" s="83">
        <f t="shared" si="6"/>
        <v>0</v>
      </c>
      <c r="U20" s="83">
        <f t="shared" ref="U20" si="7">U18-U19</f>
        <v>0</v>
      </c>
      <c r="V20" s="83">
        <f t="shared" si="6"/>
        <v>0</v>
      </c>
      <c r="W20" s="83">
        <f t="shared" si="6"/>
        <v>0</v>
      </c>
      <c r="X20" s="83">
        <f t="shared" si="6"/>
        <v>0</v>
      </c>
      <c r="Y20" s="83">
        <f t="shared" ref="Y20" si="8">Y18-Y19</f>
        <v>0</v>
      </c>
      <c r="Z20" s="83">
        <f t="shared" si="6"/>
        <v>0</v>
      </c>
      <c r="AA20" s="83">
        <f t="shared" si="6"/>
        <v>0</v>
      </c>
      <c r="AB20" s="83">
        <f t="shared" si="6"/>
        <v>0</v>
      </c>
      <c r="AC20" s="83">
        <f t="shared" si="6"/>
        <v>0</v>
      </c>
      <c r="AD20" s="92" cm="1">
        <f t="array" ref="AD20">SUM(_xlfn._xlws.FILTER($R20:$AC20, ISNUMBER(MATCH($R$17:$AC$17, _xlfn._xlws.FILTER(Hierarchy[[Offer]:[Offer]], Hierarchy[[Domain]:[Domain]]=AD$17), 0)), 0))</f>
        <v>0</v>
      </c>
      <c r="AE20" s="92" cm="1">
        <f t="array" ref="AE20">SUM(_xlfn._xlws.FILTER($R20:$AC20, ISNUMBER(MATCH($R$17:$AC$17, _xlfn._xlws.FILTER(Hierarchy[[Offer]:[Offer]], Hierarchy[[Domain]:[Domain]]=AE$17), 0)), 0))</f>
        <v>0</v>
      </c>
      <c r="AF20" s="92" cm="1">
        <f t="array" ref="AF20">SUM(_xlfn._xlws.FILTER($R20:$AC20, ISNUMBER(MATCH($R$17:$AC$17, _xlfn._xlws.FILTER(Hierarchy[[Offer]:[Offer]], Hierarchy[[Domain]:[Domain]]=AF$17), 0)), 0))</f>
        <v>0</v>
      </c>
      <c r="AG20" s="92" cm="1">
        <f t="array" ref="AG20">SUM(_xlfn._xlws.FILTER($R20:$AC20, ISNUMBER(MATCH($R$17:$AC$17, _xlfn._xlws.FILTER(Hierarchy[[Offer]:[Offer]], Hierarchy[[Domain]:[Domain]]=AG$17), 0)), 0))</f>
        <v>0</v>
      </c>
      <c r="AJ20" t="s">
        <v>291</v>
      </c>
      <c r="AN20" s="5" t="s">
        <v>35</v>
      </c>
      <c r="AO20" s="5" t="s">
        <v>41</v>
      </c>
      <c r="AP20" s="5" t="s">
        <v>43</v>
      </c>
      <c r="AQ20" t="s">
        <v>23</v>
      </c>
      <c r="AR20" s="166" t="s">
        <v>366</v>
      </c>
    </row>
    <row r="21" spans="4:44" ht="15" thickBot="1" x14ac:dyDescent="0.45">
      <c r="D21" t="s">
        <v>161</v>
      </c>
      <c r="E21" s="62">
        <v>45711</v>
      </c>
      <c r="F21" s="62">
        <v>45738</v>
      </c>
      <c r="G21">
        <v>20</v>
      </c>
      <c r="I21">
        <v>5</v>
      </c>
      <c r="J21" s="55">
        <v>0.03</v>
      </c>
      <c r="K21">
        <v>5</v>
      </c>
      <c r="L21" s="55">
        <v>0.03</v>
      </c>
      <c r="M21">
        <v>5</v>
      </c>
      <c r="N21" s="55">
        <v>0.03</v>
      </c>
      <c r="P21" s="265" t="s">
        <v>203</v>
      </c>
      <c r="Q21" s="82" t="s">
        <v>213</v>
      </c>
      <c r="R21" s="83">
        <f>SUMIFS(Data[Estimated Earned Incentives],Data[Track],R17,Data[Maximum Incentive Deal Flag],"Yes", Data[Adopt Rebate Opt-In Status],"Opted In")</f>
        <v>0</v>
      </c>
      <c r="S21" s="83">
        <f>SUMIFS(Data[Estimated Earned Incentives],Data[Track],S17,Data[Maximum Incentive Deal Flag],"Yes", Data[Adopt Rebate Opt-In Status],"Opted In")</f>
        <v>0</v>
      </c>
      <c r="T21" s="83">
        <f>SUMIFS(Data[Estimated Earned Incentives],Data[Track],T17,Data[Maximum Incentive Deal Flag],"Yes", Data[Adopt Rebate Opt-In Status],"Opted In")</f>
        <v>0</v>
      </c>
      <c r="U21" s="83">
        <f>SUMIFS(Data[Estimated Earned Incentives],Data[Track],U17,Data[Maximum Incentive Deal Flag],"Yes", Data[Adopt Rebate Opt-In Status],"Opted In")</f>
        <v>0</v>
      </c>
      <c r="V21" s="83">
        <f>SUMIFS(Data[Estimated Earned Incentives],Data[Track],V17,Data[Maximum Incentive Deal Flag],"Yes", Data[Adopt Rebate Opt-In Status],"Opted In")</f>
        <v>0</v>
      </c>
      <c r="W21" s="83">
        <f>SUMIFS(Data[Estimated Earned Incentives],Data[Track],W17,Data[Maximum Incentive Deal Flag],"Yes", Data[Adopt Rebate Opt-In Status],"Opted In")</f>
        <v>0</v>
      </c>
      <c r="X21" s="83">
        <f>SUMIFS(Data[Estimated Earned Incentives],Data[Track],X17,Data[Maximum Incentive Deal Flag],"Yes", Data[Adopt Rebate Opt-In Status],"Opted In")</f>
        <v>0</v>
      </c>
      <c r="Y21" s="83">
        <f>SUMIFS(Data[Estimated Earned Incentives],Data[Track],Y17,Data[Maximum Incentive Deal Flag],"Yes", Data[Adopt Rebate Opt-In Status],"Opted In")</f>
        <v>0</v>
      </c>
      <c r="Z21" s="83">
        <f>SUMIFS(Data[Estimated Earned Incentives],Data[Track],Z17,Data[Maximum Incentive Deal Flag],"Yes", Data[Adopt Rebate Opt-In Status],"Opted In")</f>
        <v>0</v>
      </c>
      <c r="AA21" s="83">
        <f>SUMIFS(Data[Estimated Earned Incentives],Data[Track],AA17,Data[Maximum Incentive Deal Flag],"Yes", Data[Adopt Rebate Opt-In Status],"Opted In")</f>
        <v>0</v>
      </c>
      <c r="AB21" s="83">
        <f>SUMIFS(Data[Estimated Earned Incentives],Data[Track],AB17,Data[Maximum Incentive Deal Flag],"Yes", Data[Adopt Rebate Opt-In Status],"Opted In")</f>
        <v>0</v>
      </c>
      <c r="AC21" s="83">
        <f>SUMIFS(Data[Estimated Earned Incentives],Data[Track],AC17,Data[Maximum Incentive Deal Flag],"Yes", Data[Adopt Rebate Opt-In Status],"Opted In")</f>
        <v>0</v>
      </c>
      <c r="AD21" s="92" cm="1">
        <f t="array" ref="AD21">SUM(_xlfn._xlws.FILTER($R21:$AC21, ISNUMBER(MATCH($R$17:$AC$17, _xlfn._xlws.FILTER(Hierarchy[[Offer]:[Offer]], Hierarchy[[Domain]:[Domain]]=AD$17), 0)), 0))</f>
        <v>0</v>
      </c>
      <c r="AE21" s="92" cm="1">
        <f t="array" ref="AE21">SUM(_xlfn._xlws.FILTER($R21:$AC21, ISNUMBER(MATCH($R$17:$AC$17, _xlfn._xlws.FILTER(Hierarchy[[Offer]:[Offer]], Hierarchy[[Domain]:[Domain]]=AE$17), 0)), 0))</f>
        <v>0</v>
      </c>
      <c r="AF21" s="92" cm="1">
        <f t="array" ref="AF21">SUM(_xlfn._xlws.FILTER($R21:$AC21, ISNUMBER(MATCH($R$17:$AC$17, _xlfn._xlws.FILTER(Hierarchy[[Offer]:[Offer]], Hierarchy[[Domain]:[Domain]]=AF$17), 0)), 0))</f>
        <v>0</v>
      </c>
      <c r="AG21" s="92" cm="1">
        <f t="array" ref="AG21">SUM(_xlfn._xlws.FILTER($R21:$AC21, ISNUMBER(MATCH($R$17:$AC$17, _xlfn._xlws.FILTER(Hierarchy[[Offer]:[Offer]], Hierarchy[[Domain]:[Domain]]=AG$17), 0)), 0))</f>
        <v>0</v>
      </c>
      <c r="AJ21" t="s">
        <v>292</v>
      </c>
      <c r="AN21" s="5" t="s">
        <v>35</v>
      </c>
      <c r="AO21" s="5" t="s">
        <v>340</v>
      </c>
      <c r="AP21" s="5" t="s">
        <v>341</v>
      </c>
      <c r="AQ21" t="s">
        <v>20</v>
      </c>
      <c r="AR21" s="166" t="s">
        <v>359</v>
      </c>
    </row>
    <row r="22" spans="4:44" ht="15" thickBot="1" x14ac:dyDescent="0.45">
      <c r="D22" t="s">
        <v>162</v>
      </c>
      <c r="E22" s="62">
        <v>45739</v>
      </c>
      <c r="F22" s="62">
        <v>45773</v>
      </c>
      <c r="G22">
        <v>21</v>
      </c>
      <c r="I22">
        <v>6</v>
      </c>
      <c r="J22" s="55">
        <v>0.06</v>
      </c>
      <c r="K22">
        <v>6</v>
      </c>
      <c r="L22" s="55">
        <v>0.06</v>
      </c>
      <c r="M22">
        <v>6</v>
      </c>
      <c r="N22" s="55">
        <v>0.06</v>
      </c>
      <c r="P22" s="266"/>
      <c r="Q22" s="82" t="s">
        <v>216</v>
      </c>
      <c r="R22" s="83">
        <f>SUMIFS(Data[Potential Incentives],Data[Track],R17,Data[Maximum Incentive Deal Flag],"Yes", Data[Adopt Rebate Opt-In Status],"Opted In", Data[Stage],"Eligible")</f>
        <v>0</v>
      </c>
      <c r="S22" s="83">
        <f>SUMIFS(Data[Potential Incentives],Data[Track],S17,Data[Maximum Incentive Deal Flag],"Yes", Data[Adopt Rebate Opt-In Status],"Opted In", Data[Stage],"Eligible")</f>
        <v>0</v>
      </c>
      <c r="T22" s="83">
        <f>SUMIFS(Data[Potential Incentives],Data[Track],T17,Data[Maximum Incentive Deal Flag],"Yes", Data[Adopt Rebate Opt-In Status],"Opted In", Data[Stage],"Eligible")</f>
        <v>0</v>
      </c>
      <c r="U22" s="83">
        <f>SUMIFS(Data[Potential Incentives],Data[Track],U17,Data[Maximum Incentive Deal Flag],"Yes", Data[Adopt Rebate Opt-In Status],"Opted In", Data[Stage],"Eligible")</f>
        <v>0</v>
      </c>
      <c r="V22" s="83">
        <f>SUMIFS(Data[Potential Incentives],Data[Track],V17,Data[Maximum Incentive Deal Flag],"Yes", Data[Adopt Rebate Opt-In Status],"Opted In", Data[Stage],"Eligible")</f>
        <v>0</v>
      </c>
      <c r="W22" s="83">
        <f>SUMIFS(Data[Potential Incentives],Data[Track],W17,Data[Maximum Incentive Deal Flag],"Yes", Data[Adopt Rebate Opt-In Status],"Opted In", Data[Stage],"Eligible")</f>
        <v>0</v>
      </c>
      <c r="X22" s="83">
        <f>SUMIFS(Data[Potential Incentives],Data[Track],X17,Data[Maximum Incentive Deal Flag],"Yes", Data[Adopt Rebate Opt-In Status],"Opted In", Data[Stage],"Eligible")</f>
        <v>0</v>
      </c>
      <c r="Y22" s="83">
        <f>SUMIFS(Data[Potential Incentives],Data[Track],Y17,Data[Maximum Incentive Deal Flag],"Yes", Data[Adopt Rebate Opt-In Status],"Opted In", Data[Stage],"Eligible")</f>
        <v>0</v>
      </c>
      <c r="Z22" s="83">
        <f>SUMIFS(Data[Potential Incentives],Data[Track],Z17,Data[Maximum Incentive Deal Flag],"Yes", Data[Adopt Rebate Opt-In Status],"Opted In", Data[Stage],"Eligible")</f>
        <v>0</v>
      </c>
      <c r="AA22" s="83">
        <f>SUMIFS(Data[Potential Incentives],Data[Track],AA17,Data[Maximum Incentive Deal Flag],"Yes", Data[Adopt Rebate Opt-In Status],"Opted In", Data[Stage],"Eligible")</f>
        <v>0</v>
      </c>
      <c r="AB22" s="83">
        <f>SUMIFS(Data[Potential Incentives],Data[Track],AB17,Data[Maximum Incentive Deal Flag],"Yes", Data[Adopt Rebate Opt-In Status],"Opted In", Data[Stage],"Eligible")</f>
        <v>0</v>
      </c>
      <c r="AC22" s="83">
        <f>SUMIFS(Data[Potential Incentives],Data[Track],AC17,Data[Maximum Incentive Deal Flag],"Yes", Data[Adopt Rebate Opt-In Status],"Opted In", Data[Stage],"Eligible")</f>
        <v>0</v>
      </c>
      <c r="AD22" s="92" cm="1">
        <f t="array" ref="AD22">SUM(_xlfn._xlws.FILTER($R22:$AC22, ISNUMBER(MATCH($R$17:$AC$17, _xlfn._xlws.FILTER(Hierarchy[[Offer]:[Offer]], Hierarchy[[Domain]:[Domain]]=AD$17), 0)), 0))</f>
        <v>0</v>
      </c>
      <c r="AE22" s="92" cm="1">
        <f t="array" ref="AE22">SUM(_xlfn._xlws.FILTER($R22:$AC22, ISNUMBER(MATCH($R$17:$AC$17, _xlfn._xlws.FILTER(Hierarchy[[Offer]:[Offer]], Hierarchy[[Domain]:[Domain]]=AE$17), 0)), 0))</f>
        <v>0</v>
      </c>
      <c r="AF22" s="92" cm="1">
        <f t="array" ref="AF22">SUM(_xlfn._xlws.FILTER($R22:$AC22, ISNUMBER(MATCH($R$17:$AC$17, _xlfn._xlws.FILTER(Hierarchy[[Offer]:[Offer]], Hierarchy[[Domain]:[Domain]]=AF$17), 0)), 0))</f>
        <v>0</v>
      </c>
      <c r="AG22" s="92" cm="1">
        <f t="array" ref="AG22">SUM(_xlfn._xlws.FILTER($R22:$AC22, ISNUMBER(MATCH($R$17:$AC$17, _xlfn._xlws.FILTER(Hierarchy[[Offer]:[Offer]], Hierarchy[[Domain]:[Domain]]=AG$17), 0)), 0))</f>
        <v>0</v>
      </c>
      <c r="AJ22" t="s">
        <v>293</v>
      </c>
      <c r="AN22" s="6" t="s">
        <v>342</v>
      </c>
      <c r="AO22" s="6" t="s">
        <v>44</v>
      </c>
      <c r="AP22" s="6" t="s">
        <v>45</v>
      </c>
      <c r="AQ22" t="s">
        <v>20</v>
      </c>
      <c r="AR22" s="166" t="s">
        <v>360</v>
      </c>
    </row>
    <row r="23" spans="4:44" x14ac:dyDescent="0.4">
      <c r="D23" t="s">
        <v>163</v>
      </c>
      <c r="E23" s="62">
        <v>45774</v>
      </c>
      <c r="F23" s="62">
        <v>45801</v>
      </c>
      <c r="G23">
        <v>22</v>
      </c>
      <c r="I23">
        <v>7</v>
      </c>
      <c r="J23" s="55">
        <v>0.09</v>
      </c>
      <c r="K23">
        <v>7</v>
      </c>
      <c r="L23" s="55">
        <v>0.09</v>
      </c>
      <c r="M23">
        <v>7</v>
      </c>
      <c r="N23" s="55">
        <v>0.09</v>
      </c>
      <c r="AJ23" t="s">
        <v>294</v>
      </c>
      <c r="AN23" s="4" t="s">
        <v>342</v>
      </c>
      <c r="AO23" s="4" t="s">
        <v>46</v>
      </c>
      <c r="AP23" s="4" t="s">
        <v>47</v>
      </c>
      <c r="AQ23" t="s">
        <v>23</v>
      </c>
      <c r="AR23" s="166" t="s">
        <v>361</v>
      </c>
    </row>
    <row r="24" spans="4:44" x14ac:dyDescent="0.4">
      <c r="D24" t="s">
        <v>164</v>
      </c>
      <c r="E24" s="62">
        <v>45802</v>
      </c>
      <c r="F24" s="62">
        <v>45829</v>
      </c>
      <c r="G24">
        <v>23</v>
      </c>
      <c r="I24">
        <v>8</v>
      </c>
      <c r="J24" s="55">
        <v>0.12</v>
      </c>
      <c r="K24">
        <v>8</v>
      </c>
      <c r="L24" s="55">
        <v>0.12</v>
      </c>
      <c r="M24">
        <v>8</v>
      </c>
      <c r="N24" s="55">
        <v>0.12</v>
      </c>
      <c r="Q24" s="8" t="s">
        <v>222</v>
      </c>
      <c r="AJ24" t="s">
        <v>295</v>
      </c>
      <c r="AN24" t="s">
        <v>342</v>
      </c>
      <c r="AO24" t="s">
        <v>46</v>
      </c>
      <c r="AP24" t="s">
        <v>48</v>
      </c>
      <c r="AQ24" t="s">
        <v>23</v>
      </c>
      <c r="AR24" s="166" t="s">
        <v>363</v>
      </c>
    </row>
    <row r="25" spans="4:44" x14ac:dyDescent="0.4">
      <c r="D25" t="s">
        <v>165</v>
      </c>
      <c r="E25" s="62">
        <v>45830</v>
      </c>
      <c r="F25" s="62">
        <v>45864</v>
      </c>
      <c r="G25">
        <v>24</v>
      </c>
      <c r="I25">
        <v>9</v>
      </c>
      <c r="J25" s="55">
        <v>0.15</v>
      </c>
      <c r="K25">
        <v>9</v>
      </c>
      <c r="L25" s="55">
        <v>0.15</v>
      </c>
      <c r="M25">
        <v>9</v>
      </c>
      <c r="N25" s="55">
        <v>0.15</v>
      </c>
      <c r="R25" t="s">
        <v>223</v>
      </c>
      <c r="S25" t="s">
        <v>4</v>
      </c>
      <c r="AJ25" t="s">
        <v>296</v>
      </c>
      <c r="AN25" t="s">
        <v>342</v>
      </c>
      <c r="AO25" t="s">
        <v>46</v>
      </c>
      <c r="AP25" t="s">
        <v>49</v>
      </c>
      <c r="AQ25" t="s">
        <v>23</v>
      </c>
      <c r="AR25" s="166" t="s">
        <v>362</v>
      </c>
    </row>
    <row r="26" spans="4:44" x14ac:dyDescent="0.4">
      <c r="D26" t="s">
        <v>166</v>
      </c>
      <c r="E26" s="62">
        <v>45865</v>
      </c>
      <c r="F26" s="62">
        <v>45892</v>
      </c>
      <c r="G26">
        <v>25</v>
      </c>
      <c r="I26">
        <v>10</v>
      </c>
      <c r="J26" s="55"/>
      <c r="K26">
        <v>10</v>
      </c>
      <c r="L26" s="55"/>
      <c r="M26">
        <v>10</v>
      </c>
      <c r="N26" s="55"/>
      <c r="Q26" t="s">
        <v>202</v>
      </c>
      <c r="R26" s="52">
        <f>HLOOKUP('CPI Adopt'!$C$7,$Q$17:$AG$22,3,0)</f>
        <v>0</v>
      </c>
      <c r="S26" s="52">
        <f>HLOOKUP('CPI Adopt'!$J$7,$Q$17:$AG$22,3,0)</f>
        <v>0</v>
      </c>
      <c r="V26" s="8"/>
      <c r="W26" s="8"/>
      <c r="AJ26" t="s">
        <v>297</v>
      </c>
      <c r="AN26" t="s">
        <v>342</v>
      </c>
      <c r="AO26" t="s">
        <v>46</v>
      </c>
      <c r="AP26" t="s">
        <v>50</v>
      </c>
      <c r="AQ26" t="s">
        <v>20</v>
      </c>
      <c r="AR26" s="166" t="s">
        <v>364</v>
      </c>
    </row>
    <row r="27" spans="4:44" ht="15" thickBot="1" x14ac:dyDescent="0.45">
      <c r="D27" t="s">
        <v>167</v>
      </c>
      <c r="E27" s="62">
        <v>45893</v>
      </c>
      <c r="F27" s="62">
        <v>45920</v>
      </c>
      <c r="G27">
        <v>26</v>
      </c>
      <c r="Q27" t="s">
        <v>204</v>
      </c>
      <c r="R27" s="52">
        <f>HLOOKUP('CPI Adopt'!$C$7,$Q$17:$AG$22,4,0)</f>
        <v>0</v>
      </c>
      <c r="S27" s="52">
        <f>HLOOKUP('CPI Adopt'!$J$7,$Q$17:$AG$22,4,0)</f>
        <v>0</v>
      </c>
      <c r="V27" s="52"/>
      <c r="W27" s="52"/>
      <c r="AJ27" t="s">
        <v>298</v>
      </c>
      <c r="AN27" s="5" t="s">
        <v>342</v>
      </c>
      <c r="AO27" s="5" t="s">
        <v>46</v>
      </c>
      <c r="AP27" s="5" t="s">
        <v>51</v>
      </c>
      <c r="AQ27" t="s">
        <v>20</v>
      </c>
      <c r="AR27" s="166" t="s">
        <v>365</v>
      </c>
    </row>
    <row r="28" spans="4:44" ht="15" thickBot="1" x14ac:dyDescent="0.45">
      <c r="D28" t="s">
        <v>168</v>
      </c>
      <c r="E28" s="62">
        <v>45921</v>
      </c>
      <c r="F28" s="62">
        <v>45955</v>
      </c>
      <c r="G28">
        <v>27</v>
      </c>
      <c r="Q28" t="s">
        <v>213</v>
      </c>
      <c r="R28" s="52">
        <f>HLOOKUP('CPI Adopt'!$C$7,$Q$17:$AG$22,5,0)</f>
        <v>0</v>
      </c>
      <c r="S28" s="52">
        <f>HLOOKUP('CPI Adopt'!$J$7,$Q$17:$AG$22,5,0)</f>
        <v>0</v>
      </c>
      <c r="W28" s="52"/>
      <c r="AJ28" t="s">
        <v>299</v>
      </c>
      <c r="AN28" s="6" t="s">
        <v>52</v>
      </c>
      <c r="AO28" s="6" t="s">
        <v>53</v>
      </c>
      <c r="AP28" s="6" t="s">
        <v>54</v>
      </c>
      <c r="AQ28" t="s">
        <v>20</v>
      </c>
    </row>
    <row r="29" spans="4:44" x14ac:dyDescent="0.4">
      <c r="D29" t="s">
        <v>169</v>
      </c>
      <c r="E29" s="62">
        <v>45956</v>
      </c>
      <c r="F29" s="62">
        <v>45983</v>
      </c>
      <c r="G29">
        <v>28</v>
      </c>
      <c r="Q29" t="s">
        <v>216</v>
      </c>
      <c r="R29" s="52">
        <f>HLOOKUP('CPI Adopt'!$C$7,$Q$17:$AG$22,6,0)</f>
        <v>0</v>
      </c>
      <c r="S29" s="52">
        <f>HLOOKUP('CPI Adopt'!$J$7,$Q$17:$AG$22,6,0)</f>
        <v>0</v>
      </c>
      <c r="W29" s="52"/>
      <c r="AJ29" t="s">
        <v>300</v>
      </c>
      <c r="AN29" s="4" t="s">
        <v>52</v>
      </c>
      <c r="AO29" s="4" t="s">
        <v>55</v>
      </c>
      <c r="AP29" s="4" t="s">
        <v>56</v>
      </c>
      <c r="AQ29" t="s">
        <v>23</v>
      </c>
    </row>
    <row r="30" spans="4:44" x14ac:dyDescent="0.4">
      <c r="D30" t="s">
        <v>170</v>
      </c>
      <c r="E30" s="62">
        <v>45984</v>
      </c>
      <c r="F30" s="62">
        <v>46011</v>
      </c>
      <c r="G30">
        <v>29</v>
      </c>
      <c r="J30" s="74"/>
      <c r="K30" s="74"/>
      <c r="R30" t="str">
        <f>'CPI Adopt'!$C$7</f>
        <v>Networking</v>
      </c>
      <c r="S30" t="str" cm="1">
        <f t="array" ref="S30:S32">_xlfn._xlws.SORT(_xlfn.UNIQUE(_xlfn._xlws.FILTER(Overview!B:B, Overview!A:A = R30, "No offers found")))</f>
        <v>Catalyst Center</v>
      </c>
      <c r="W30" s="52"/>
      <c r="AJ30" t="s">
        <v>301</v>
      </c>
    </row>
    <row r="31" spans="4:44" x14ac:dyDescent="0.4">
      <c r="D31" t="s">
        <v>171</v>
      </c>
      <c r="E31" s="62">
        <v>46012</v>
      </c>
      <c r="F31" s="62">
        <v>46046</v>
      </c>
      <c r="G31">
        <v>30</v>
      </c>
      <c r="S31" t="str">
        <v>Meraki</v>
      </c>
      <c r="W31" s="52"/>
      <c r="AJ31" t="s">
        <v>302</v>
      </c>
    </row>
    <row r="32" spans="4:44" x14ac:dyDescent="0.4">
      <c r="D32" t="s">
        <v>172</v>
      </c>
      <c r="E32" s="62">
        <v>46047</v>
      </c>
      <c r="F32" s="62">
        <v>46074</v>
      </c>
      <c r="G32">
        <v>31</v>
      </c>
      <c r="S32" t="str">
        <v>SD WAN</v>
      </c>
      <c r="AJ32" t="s">
        <v>303</v>
      </c>
    </row>
    <row r="33" spans="4:36" x14ac:dyDescent="0.4">
      <c r="D33" t="s">
        <v>173</v>
      </c>
      <c r="E33" s="62">
        <v>46075</v>
      </c>
      <c r="F33" s="62">
        <v>46102</v>
      </c>
      <c r="G33">
        <v>32</v>
      </c>
      <c r="AJ33" t="s">
        <v>304</v>
      </c>
    </row>
    <row r="34" spans="4:36" x14ac:dyDescent="0.4">
      <c r="D34" t="s">
        <v>174</v>
      </c>
      <c r="E34" s="62">
        <v>46103</v>
      </c>
      <c r="F34" s="62">
        <v>46137</v>
      </c>
      <c r="G34">
        <v>33</v>
      </c>
      <c r="AJ34" t="s">
        <v>305</v>
      </c>
    </row>
    <row r="35" spans="4:36" x14ac:dyDescent="0.4">
      <c r="D35" t="s">
        <v>175</v>
      </c>
      <c r="E35" s="62">
        <v>46138</v>
      </c>
      <c r="F35" s="62">
        <v>46165</v>
      </c>
      <c r="G35">
        <v>34</v>
      </c>
      <c r="J35" s="62"/>
      <c r="N35" s="62"/>
      <c r="AJ35" t="s">
        <v>306</v>
      </c>
    </row>
    <row r="36" spans="4:36" x14ac:dyDescent="0.4">
      <c r="D36" t="s">
        <v>176</v>
      </c>
      <c r="E36" s="62">
        <v>46166</v>
      </c>
      <c r="F36" s="62">
        <v>46193</v>
      </c>
      <c r="G36">
        <v>35</v>
      </c>
      <c r="R36" s="8" t="str" cm="1">
        <f t="array" ref="R36:AC36">TRANSPOSE(_xlfn.UNIQUE(Hierarchy[Offer]))</f>
        <v>Catalyst Center</v>
      </c>
      <c r="S36" s="8" t="str">
        <v>Meraki</v>
      </c>
      <c r="T36" s="8" t="str">
        <v>SD WAN</v>
      </c>
      <c r="U36" s="8" t="str">
        <v>Cisco Secure Network Analytics</v>
      </c>
      <c r="V36" s="8" t="str">
        <v>Duo</v>
      </c>
      <c r="W36" s="8" t="str">
        <v>Cisco Umbrella</v>
      </c>
      <c r="X36" s="8" t="str">
        <v>Cisco Secure Firewall</v>
      </c>
      <c r="Y36" s="8" t="str">
        <v>Identity Services Engine</v>
      </c>
      <c r="Z36" s="8" t="str">
        <v>Cisco Intersight</v>
      </c>
      <c r="AA36" s="8" t="str">
        <v>Data Center Networking</v>
      </c>
      <c r="AB36" s="8" t="str">
        <v>Webex Suite</v>
      </c>
      <c r="AC36" s="8" t="str">
        <v>Cisco Contact Center</v>
      </c>
      <c r="AD36" s="71" t="str" cm="1">
        <f t="array" ref="AD36:AG36">TRANSPOSE(_xlfn.UNIQUE(Hierarchy[Domain]))</f>
        <v>Networking</v>
      </c>
      <c r="AE36" s="71" t="str">
        <v>Security</v>
      </c>
      <c r="AF36" s="71" t="str">
        <v>Cloud + AI Infrastructure</v>
      </c>
      <c r="AG36" s="71" t="str">
        <v>Collaboration</v>
      </c>
      <c r="AJ36" t="s">
        <v>307</v>
      </c>
    </row>
    <row r="37" spans="4:36" x14ac:dyDescent="0.4">
      <c r="D37" t="s">
        <v>177</v>
      </c>
      <c r="E37" s="62">
        <v>46194</v>
      </c>
      <c r="F37" s="62">
        <v>46228</v>
      </c>
      <c r="G37">
        <v>36</v>
      </c>
      <c r="P37" s="9" t="s">
        <v>391</v>
      </c>
      <c r="Q37" s="192" cm="1">
        <f t="array" aca="1" ref="Q37:Q48" ca="1">EDATE(EOMONTH(TODAY(),-1)+1, -_xlfn.SEQUENCE(12, 1, 0, 1))</f>
        <v>46143</v>
      </c>
      <c r="R37" s="193" cm="1">
        <f t="array" aca="1" ref="R37" ca="1">SUMPRODUCT(
  (Data[Track]=R$36)*
  (Data[Adopt Rebate Opt-In Status]="Opted In")*
  ((Data[Stage]="Eligible") + (Data[Stage]="Expired"))*
  (Data[Adopt Rebate Start Date]&gt;=$Q37)*
  (Data[Adopt Rebate Start Date]&lt; EDATE($Q37,1))
)</f>
        <v>0</v>
      </c>
      <c r="S37" s="193" cm="1">
        <f t="array" aca="1" ref="S37" ca="1">SUMPRODUCT(
  (Data[Track]=S$36)*
  (Data[Adopt Rebate Opt-In Status]="Opted In")*
  ((Data[Stage]="Eligible") + (Data[Stage]="Expired"))*
  (Data[Adopt Rebate Start Date]&gt;=$Q37)*
  (Data[Adopt Rebate Start Date]&lt; EDATE($Q37,1))
)</f>
        <v>0</v>
      </c>
      <c r="T37" s="193" cm="1">
        <f t="array" aca="1" ref="T37" ca="1">SUMPRODUCT(
  (Data[Track]=T$36)*
  (Data[Adopt Rebate Opt-In Status]="Opted In")*
  ((Data[Stage]="Eligible") + (Data[Stage]="Expired"))*
  (Data[Adopt Rebate Start Date]&gt;=$Q37)*
  (Data[Adopt Rebate Start Date]&lt; EDATE($Q37,1))
)</f>
        <v>0</v>
      </c>
      <c r="U37" s="193" cm="1">
        <f t="array" aca="1" ref="U37" ca="1">SUMPRODUCT(
  (Data[Track]=U$36)*
  (Data[Adopt Rebate Opt-In Status]="Opted In")*
  ((Data[Stage]="Eligible") + (Data[Stage]="Expired"))*
  (Data[Adopt Rebate Start Date]&gt;=$Q37)*
  (Data[Adopt Rebate Start Date]&lt; EDATE($Q37,1))
)</f>
        <v>0</v>
      </c>
      <c r="V37" s="193" cm="1">
        <f t="array" aca="1" ref="V37" ca="1">SUMPRODUCT(
  (Data[Track]=V$36)*
  (Data[Adopt Rebate Opt-In Status]="Opted In")*
  ((Data[Stage]="Eligible") + (Data[Stage]="Expired"))*
  (Data[Adopt Rebate Start Date]&gt;=$Q37)*
  (Data[Adopt Rebate Start Date]&lt; EDATE($Q37,1))
)</f>
        <v>0</v>
      </c>
      <c r="W37" s="193" cm="1">
        <f t="array" aca="1" ref="W37" ca="1">SUMPRODUCT(
  (Data[Track]=W$36)*
  (Data[Adopt Rebate Opt-In Status]="Opted In")*
  ((Data[Stage]="Eligible") + (Data[Stage]="Expired"))*
  (Data[Adopt Rebate Start Date]&gt;=$Q37)*
  (Data[Adopt Rebate Start Date]&lt; EDATE($Q37,1))
)</f>
        <v>0</v>
      </c>
      <c r="X37" s="193" cm="1">
        <f t="array" aca="1" ref="X37" ca="1">SUMPRODUCT(
  (Data[Track]=X$36)*
  (Data[Adopt Rebate Opt-In Status]="Opted In")*
  ((Data[Stage]="Eligible") + (Data[Stage]="Expired"))*
  (Data[Adopt Rebate Start Date]&gt;=$Q37)*
  (Data[Adopt Rebate Start Date]&lt; EDATE($Q37,1))
)</f>
        <v>0</v>
      </c>
      <c r="Y37" s="193" cm="1">
        <f t="array" aca="1" ref="Y37" ca="1">SUMPRODUCT(
  (Data[Track]=Y$36)*
  (Data[Adopt Rebate Opt-In Status]="Opted In")*
  ((Data[Stage]="Eligible") + (Data[Stage]="Expired"))*
  (Data[Adopt Rebate Start Date]&gt;=$Q37)*
  (Data[Adopt Rebate Start Date]&lt; EDATE($Q37,1))
)</f>
        <v>0</v>
      </c>
      <c r="Z37" s="193" cm="1">
        <f t="array" aca="1" ref="Z37" ca="1">SUMPRODUCT(
  (Data[Track]=Z$36)*
  (Data[Adopt Rebate Opt-In Status]="Opted In")*
  ((Data[Stage]="Eligible") + (Data[Stage]="Expired"))*
  (Data[Adopt Rebate Start Date]&gt;=$Q37)*
  (Data[Adopt Rebate Start Date]&lt; EDATE($Q37,1))
)</f>
        <v>0</v>
      </c>
      <c r="AA37" s="193" cm="1">
        <f t="array" aca="1" ref="AA37" ca="1">SUMPRODUCT(
  (Data[Track]=AA$36)*
  (Data[Adopt Rebate Opt-In Status]="Opted In")*
  ((Data[Stage]="Eligible") + (Data[Stage]="Expired"))*
  (Data[Adopt Rebate Start Date]&gt;=$Q37)*
  (Data[Adopt Rebate Start Date]&lt; EDATE($Q37,1))
)</f>
        <v>0</v>
      </c>
      <c r="AB37" s="193" cm="1">
        <f t="array" aca="1" ref="AB37" ca="1">SUMPRODUCT(
  (Data[Track]=AB$36)*
  (Data[Adopt Rebate Opt-In Status]="Opted In")*
  ((Data[Stage]="Eligible") + (Data[Stage]="Expired"))*
  (Data[Adopt Rebate Start Date]&gt;=$Q37)*
  (Data[Adopt Rebate Start Date]&lt; EDATE($Q37,1))
)</f>
        <v>0</v>
      </c>
      <c r="AC37" s="193" cm="1">
        <f t="array" aca="1" ref="AC37" ca="1">SUMPRODUCT(
  (Data[Track]=AC$36)*
  (Data[Adopt Rebate Opt-In Status]="Opted In")*
  ((Data[Stage]="Eligible") + (Data[Stage]="Expired"))*
  (Data[Adopt Rebate Start Date]&gt;=$Q37)*
  (Data[Adopt Rebate Start Date]&lt; EDATE($Q37,1))
)</f>
        <v>0</v>
      </c>
      <c r="AD37" s="194" cm="1">
        <f t="array" aca="1" ref="AD37" ca="1">SUM(_xlfn._xlws.FILTER($R37:$AC37, ISNUMBER(MATCH(_xlfn.ANCHORARRAY($R$36), _xlfn._xlws.FILTER(Hierarchy[[Offer]:[Offer]], Hierarchy[[Domain]:[Domain]]=AD$36), 0)), 0))</f>
        <v>0</v>
      </c>
      <c r="AE37" s="194" cm="1">
        <f t="array" aca="1" ref="AE37" ca="1">SUM(_xlfn._xlws.FILTER($R37:$AC37, ISNUMBER(MATCH(_xlfn.ANCHORARRAY($R$36), _xlfn._xlws.FILTER(Hierarchy[[Offer]:[Offer]], Hierarchy[[Domain]:[Domain]]=AE$36), 0)), 0))</f>
        <v>0</v>
      </c>
      <c r="AF37" s="194" cm="1">
        <f t="array" aca="1" ref="AF37" ca="1">SUM(_xlfn._xlws.FILTER($R37:$AC37, ISNUMBER(MATCH(_xlfn.ANCHORARRAY($R$36), _xlfn._xlws.FILTER(Hierarchy[[Offer]:[Offer]], Hierarchy[[Domain]:[Domain]]=AF$36), 0)), 0))</f>
        <v>0</v>
      </c>
      <c r="AG37" s="194" cm="1">
        <f t="array" aca="1" ref="AG37" ca="1">SUM(_xlfn._xlws.FILTER($R37:$AC37, ISNUMBER(MATCH(_xlfn.ANCHORARRAY($R$36), _xlfn._xlws.FILTER(Hierarchy[[Offer]:[Offer]], Hierarchy[[Domain]:[Domain]]=AG$36), 0)), 0))</f>
        <v>0</v>
      </c>
      <c r="AH37" s="52"/>
      <c r="AJ37" t="s">
        <v>308</v>
      </c>
    </row>
    <row r="38" spans="4:36" x14ac:dyDescent="0.4">
      <c r="D38" t="s">
        <v>178</v>
      </c>
      <c r="E38" s="62">
        <v>46229</v>
      </c>
      <c r="F38" s="62">
        <v>46256</v>
      </c>
      <c r="G38">
        <v>37</v>
      </c>
      <c r="Q38" s="192">
        <f ca="1"/>
        <v>46113</v>
      </c>
      <c r="R38" s="193" cm="1">
        <f t="array" aca="1" ref="R38" ca="1">SUMPRODUCT(
  (Data[Track]=R$36)*
  (Data[Adopt Rebate Opt-In Status]="Opted In")*
  ((Data[Stage]="Eligible") + (Data[Stage]="Expired"))*
  (Data[Adopt Rebate Start Date]&gt;=$Q38)*
  (Data[Adopt Rebate Start Date]&lt; EDATE($Q38,1))
)</f>
        <v>0</v>
      </c>
      <c r="S38" s="193" cm="1">
        <f t="array" aca="1" ref="S38" ca="1">SUMPRODUCT(
  (Data[Track]=S$36)*
  (Data[Adopt Rebate Opt-In Status]="Opted In")*
  ((Data[Stage]="Eligible") + (Data[Stage]="Expired"))*
  (Data[Adopt Rebate Start Date]&gt;=$Q38)*
  (Data[Adopt Rebate Start Date]&lt; EDATE($Q38,1))
)</f>
        <v>0</v>
      </c>
      <c r="T38" s="193" cm="1">
        <f t="array" aca="1" ref="T38" ca="1">SUMPRODUCT(
  (Data[Track]=T$36)*
  (Data[Adopt Rebate Opt-In Status]="Opted In")*
  ((Data[Stage]="Eligible") + (Data[Stage]="Expired"))*
  (Data[Adopt Rebate Start Date]&gt;=$Q38)*
  (Data[Adopt Rebate Start Date]&lt; EDATE($Q38,1))
)</f>
        <v>0</v>
      </c>
      <c r="U38" s="193" cm="1">
        <f t="array" aca="1" ref="U38" ca="1">SUMPRODUCT(
  (Data[Track]=U$36)*
  (Data[Adopt Rebate Opt-In Status]="Opted In")*
  ((Data[Stage]="Eligible") + (Data[Stage]="Expired"))*
  (Data[Adopt Rebate Start Date]&gt;=$Q38)*
  (Data[Adopt Rebate Start Date]&lt; EDATE($Q38,1))
)</f>
        <v>0</v>
      </c>
      <c r="V38" s="193" cm="1">
        <f t="array" aca="1" ref="V38" ca="1">SUMPRODUCT(
  (Data[Track]=V$36)*
  (Data[Adopt Rebate Opt-In Status]="Opted In")*
  ((Data[Stage]="Eligible") + (Data[Stage]="Expired"))*
  (Data[Adopt Rebate Start Date]&gt;=$Q38)*
  (Data[Adopt Rebate Start Date]&lt; EDATE($Q38,1))
)</f>
        <v>0</v>
      </c>
      <c r="W38" s="193" cm="1">
        <f t="array" aca="1" ref="W38" ca="1">SUMPRODUCT(
  (Data[Track]=W$36)*
  (Data[Adopt Rebate Opt-In Status]="Opted In")*
  ((Data[Stage]="Eligible") + (Data[Stage]="Expired"))*
  (Data[Adopt Rebate Start Date]&gt;=$Q38)*
  (Data[Adopt Rebate Start Date]&lt; EDATE($Q38,1))
)</f>
        <v>0</v>
      </c>
      <c r="X38" s="193" cm="1">
        <f t="array" aca="1" ref="X38" ca="1">SUMPRODUCT(
  (Data[Track]=X$36)*
  (Data[Adopt Rebate Opt-In Status]="Opted In")*
  ((Data[Stage]="Eligible") + (Data[Stage]="Expired"))*
  (Data[Adopt Rebate Start Date]&gt;=$Q38)*
  (Data[Adopt Rebate Start Date]&lt; EDATE($Q38,1))
)</f>
        <v>0</v>
      </c>
      <c r="Y38" s="193" cm="1">
        <f t="array" aca="1" ref="Y38" ca="1">SUMPRODUCT(
  (Data[Track]=Y$36)*
  (Data[Adopt Rebate Opt-In Status]="Opted In")*
  ((Data[Stage]="Eligible") + (Data[Stage]="Expired"))*
  (Data[Adopt Rebate Start Date]&gt;=$Q38)*
  (Data[Adopt Rebate Start Date]&lt; EDATE($Q38,1))
)</f>
        <v>0</v>
      </c>
      <c r="Z38" s="193" cm="1">
        <f t="array" aca="1" ref="Z38" ca="1">SUMPRODUCT(
  (Data[Track]=Z$36)*
  (Data[Adopt Rebate Opt-In Status]="Opted In")*
  ((Data[Stage]="Eligible") + (Data[Stage]="Expired"))*
  (Data[Adopt Rebate Start Date]&gt;=$Q38)*
  (Data[Adopt Rebate Start Date]&lt; EDATE($Q38,1))
)</f>
        <v>0</v>
      </c>
      <c r="AA38" s="193" cm="1">
        <f t="array" aca="1" ref="AA38" ca="1">SUMPRODUCT(
  (Data[Track]=AA$36)*
  (Data[Adopt Rebate Opt-In Status]="Opted In")*
  ((Data[Stage]="Eligible") + (Data[Stage]="Expired"))*
  (Data[Adopt Rebate Start Date]&gt;=$Q38)*
  (Data[Adopt Rebate Start Date]&lt; EDATE($Q38,1))
)</f>
        <v>0</v>
      </c>
      <c r="AB38" s="193" cm="1">
        <f t="array" aca="1" ref="AB38" ca="1">SUMPRODUCT(
  (Data[Track]=AB$36)*
  (Data[Adopt Rebate Opt-In Status]="Opted In")*
  ((Data[Stage]="Eligible") + (Data[Stage]="Expired"))*
  (Data[Adopt Rebate Start Date]&gt;=$Q38)*
  (Data[Adopt Rebate Start Date]&lt; EDATE($Q38,1))
)</f>
        <v>0</v>
      </c>
      <c r="AC38" s="193" cm="1">
        <f t="array" aca="1" ref="AC38" ca="1">SUMPRODUCT(
  (Data[Track]=AC$36)*
  (Data[Adopt Rebate Opt-In Status]="Opted In")*
  ((Data[Stage]="Eligible") + (Data[Stage]="Expired"))*
  (Data[Adopt Rebate Start Date]&gt;=$Q38)*
  (Data[Adopt Rebate Start Date]&lt; EDATE($Q38,1))
)</f>
        <v>0</v>
      </c>
      <c r="AD38" s="194" cm="1">
        <f t="array" aca="1" ref="AD38" ca="1">SUM(_xlfn._xlws.FILTER($R38:$AC38, ISNUMBER(MATCH(_xlfn.ANCHORARRAY($R$36), _xlfn._xlws.FILTER(Hierarchy[[Offer]:[Offer]], Hierarchy[[Domain]:[Domain]]=AD$36), 0)), 0))</f>
        <v>0</v>
      </c>
      <c r="AE38" s="194" cm="1">
        <f t="array" aca="1" ref="AE38" ca="1">SUM(_xlfn._xlws.FILTER($R38:$AC38, ISNUMBER(MATCH(_xlfn.ANCHORARRAY($R$36), _xlfn._xlws.FILTER(Hierarchy[[Offer]:[Offer]], Hierarchy[[Domain]:[Domain]]=AE$36), 0)), 0))</f>
        <v>0</v>
      </c>
      <c r="AF38" s="194" cm="1">
        <f t="array" aca="1" ref="AF38" ca="1">SUM(_xlfn._xlws.FILTER($R38:$AC38, ISNUMBER(MATCH(_xlfn.ANCHORARRAY($R$36), _xlfn._xlws.FILTER(Hierarchy[[Offer]:[Offer]], Hierarchy[[Domain]:[Domain]]=AF$36), 0)), 0))</f>
        <v>0</v>
      </c>
      <c r="AG38" s="194" cm="1">
        <f t="array" aca="1" ref="AG38" ca="1">SUM(_xlfn._xlws.FILTER($R38:$AC38, ISNUMBER(MATCH(_xlfn.ANCHORARRAY($R$36), _xlfn._xlws.FILTER(Hierarchy[[Offer]:[Offer]], Hierarchy[[Domain]:[Domain]]=AG$36), 0)), 0))</f>
        <v>0</v>
      </c>
      <c r="AH38" s="52"/>
      <c r="AJ38" t="s">
        <v>309</v>
      </c>
    </row>
    <row r="39" spans="4:36" x14ac:dyDescent="0.4">
      <c r="D39" t="s">
        <v>179</v>
      </c>
      <c r="E39" s="62">
        <v>46257</v>
      </c>
      <c r="F39" s="62">
        <v>46284</v>
      </c>
      <c r="G39">
        <v>38</v>
      </c>
      <c r="Q39" s="192">
        <f ca="1"/>
        <v>46082</v>
      </c>
      <c r="R39" s="193" cm="1">
        <f t="array" aca="1" ref="R39" ca="1">SUMPRODUCT(
  (Data[Track]=R$36)*
  (Data[Adopt Rebate Opt-In Status]="Opted In")*
  ((Data[Stage]="Eligible") + (Data[Stage]="Expired"))*
  (Data[Adopt Rebate Start Date]&gt;=$Q39)*
  (Data[Adopt Rebate Start Date]&lt; EDATE($Q39,1))
)</f>
        <v>0</v>
      </c>
      <c r="S39" s="193" cm="1">
        <f t="array" aca="1" ref="S39" ca="1">SUMPRODUCT(
  (Data[Track]=S$36)*
  (Data[Adopt Rebate Opt-In Status]="Opted In")*
  ((Data[Stage]="Eligible") + (Data[Stage]="Expired"))*
  (Data[Adopt Rebate Start Date]&gt;=$Q39)*
  (Data[Adopt Rebate Start Date]&lt; EDATE($Q39,1))
)</f>
        <v>0</v>
      </c>
      <c r="T39" s="193" cm="1">
        <f t="array" aca="1" ref="T39" ca="1">SUMPRODUCT(
  (Data[Track]=T$36)*
  (Data[Adopt Rebate Opt-In Status]="Opted In")*
  ((Data[Stage]="Eligible") + (Data[Stage]="Expired"))*
  (Data[Adopt Rebate Start Date]&gt;=$Q39)*
  (Data[Adopt Rebate Start Date]&lt; EDATE($Q39,1))
)</f>
        <v>0</v>
      </c>
      <c r="U39" s="193" cm="1">
        <f t="array" aca="1" ref="U39" ca="1">SUMPRODUCT(
  (Data[Track]=U$36)*
  (Data[Adopt Rebate Opt-In Status]="Opted In")*
  ((Data[Stage]="Eligible") + (Data[Stage]="Expired"))*
  (Data[Adopt Rebate Start Date]&gt;=$Q39)*
  (Data[Adopt Rebate Start Date]&lt; EDATE($Q39,1))
)</f>
        <v>0</v>
      </c>
      <c r="V39" s="193" cm="1">
        <f t="array" aca="1" ref="V39" ca="1">SUMPRODUCT(
  (Data[Track]=V$36)*
  (Data[Adopt Rebate Opt-In Status]="Opted In")*
  ((Data[Stage]="Eligible") + (Data[Stage]="Expired"))*
  (Data[Adopt Rebate Start Date]&gt;=$Q39)*
  (Data[Adopt Rebate Start Date]&lt; EDATE($Q39,1))
)</f>
        <v>0</v>
      </c>
      <c r="W39" s="193" cm="1">
        <f t="array" aca="1" ref="W39" ca="1">SUMPRODUCT(
  (Data[Track]=W$36)*
  (Data[Adopt Rebate Opt-In Status]="Opted In")*
  ((Data[Stage]="Eligible") + (Data[Stage]="Expired"))*
  (Data[Adopt Rebate Start Date]&gt;=$Q39)*
  (Data[Adopt Rebate Start Date]&lt; EDATE($Q39,1))
)</f>
        <v>0</v>
      </c>
      <c r="X39" s="193" cm="1">
        <f t="array" aca="1" ref="X39" ca="1">SUMPRODUCT(
  (Data[Track]=X$36)*
  (Data[Adopt Rebate Opt-In Status]="Opted In")*
  ((Data[Stage]="Eligible") + (Data[Stage]="Expired"))*
  (Data[Adopt Rebate Start Date]&gt;=$Q39)*
  (Data[Adopt Rebate Start Date]&lt; EDATE($Q39,1))
)</f>
        <v>0</v>
      </c>
      <c r="Y39" s="193" cm="1">
        <f t="array" aca="1" ref="Y39" ca="1">SUMPRODUCT(
  (Data[Track]=Y$36)*
  (Data[Adopt Rebate Opt-In Status]="Opted In")*
  ((Data[Stage]="Eligible") + (Data[Stage]="Expired"))*
  (Data[Adopt Rebate Start Date]&gt;=$Q39)*
  (Data[Adopt Rebate Start Date]&lt; EDATE($Q39,1))
)</f>
        <v>0</v>
      </c>
      <c r="Z39" s="193" cm="1">
        <f t="array" aca="1" ref="Z39" ca="1">SUMPRODUCT(
  (Data[Track]=Z$36)*
  (Data[Adopt Rebate Opt-In Status]="Opted In")*
  ((Data[Stage]="Eligible") + (Data[Stage]="Expired"))*
  (Data[Adopt Rebate Start Date]&gt;=$Q39)*
  (Data[Adopt Rebate Start Date]&lt; EDATE($Q39,1))
)</f>
        <v>0</v>
      </c>
      <c r="AA39" s="193" cm="1">
        <f t="array" aca="1" ref="AA39" ca="1">SUMPRODUCT(
  (Data[Track]=AA$36)*
  (Data[Adopt Rebate Opt-In Status]="Opted In")*
  ((Data[Stage]="Eligible") + (Data[Stage]="Expired"))*
  (Data[Adopt Rebate Start Date]&gt;=$Q39)*
  (Data[Adopt Rebate Start Date]&lt; EDATE($Q39,1))
)</f>
        <v>0</v>
      </c>
      <c r="AB39" s="193" cm="1">
        <f t="array" aca="1" ref="AB39" ca="1">SUMPRODUCT(
  (Data[Track]=AB$36)*
  (Data[Adopt Rebate Opt-In Status]="Opted In")*
  ((Data[Stage]="Eligible") + (Data[Stage]="Expired"))*
  (Data[Adopt Rebate Start Date]&gt;=$Q39)*
  (Data[Adopt Rebate Start Date]&lt; EDATE($Q39,1))
)</f>
        <v>0</v>
      </c>
      <c r="AC39" s="193" cm="1">
        <f t="array" aca="1" ref="AC39" ca="1">SUMPRODUCT(
  (Data[Track]=AC$36)*
  (Data[Adopt Rebate Opt-In Status]="Opted In")*
  ((Data[Stage]="Eligible") + (Data[Stage]="Expired"))*
  (Data[Adopt Rebate Start Date]&gt;=$Q39)*
  (Data[Adopt Rebate Start Date]&lt; EDATE($Q39,1))
)</f>
        <v>0</v>
      </c>
      <c r="AD39" s="194" cm="1">
        <f t="array" aca="1" ref="AD39" ca="1">SUM(_xlfn._xlws.FILTER($R39:$AC39, ISNUMBER(MATCH(_xlfn.ANCHORARRAY($R$36), _xlfn._xlws.FILTER(Hierarchy[[Offer]:[Offer]], Hierarchy[[Domain]:[Domain]]=AD$36), 0)), 0))</f>
        <v>0</v>
      </c>
      <c r="AE39" s="194" cm="1">
        <f t="array" aca="1" ref="AE39" ca="1">SUM(_xlfn._xlws.FILTER($R39:$AC39, ISNUMBER(MATCH(_xlfn.ANCHORARRAY($R$36), _xlfn._xlws.FILTER(Hierarchy[[Offer]:[Offer]], Hierarchy[[Domain]:[Domain]]=AE$36), 0)), 0))</f>
        <v>0</v>
      </c>
      <c r="AF39" s="194" cm="1">
        <f t="array" aca="1" ref="AF39" ca="1">SUM(_xlfn._xlws.FILTER($R39:$AC39, ISNUMBER(MATCH(_xlfn.ANCHORARRAY($R$36), _xlfn._xlws.FILTER(Hierarchy[[Offer]:[Offer]], Hierarchy[[Domain]:[Domain]]=AF$36), 0)), 0))</f>
        <v>0</v>
      </c>
      <c r="AG39" s="194" cm="1">
        <f t="array" aca="1" ref="AG39" ca="1">SUM(_xlfn._xlws.FILTER($R39:$AC39, ISNUMBER(MATCH(_xlfn.ANCHORARRAY($R$36), _xlfn._xlws.FILTER(Hierarchy[[Offer]:[Offer]], Hierarchy[[Domain]:[Domain]]=AG$36), 0)), 0))</f>
        <v>0</v>
      </c>
      <c r="AH39" s="52"/>
      <c r="AJ39" t="s">
        <v>310</v>
      </c>
    </row>
    <row r="40" spans="4:36" x14ac:dyDescent="0.4">
      <c r="D40" t="s">
        <v>180</v>
      </c>
      <c r="E40" s="62">
        <v>46285</v>
      </c>
      <c r="F40" s="62">
        <v>46319</v>
      </c>
      <c r="G40">
        <v>39</v>
      </c>
      <c r="Q40" s="192">
        <f ca="1"/>
        <v>46054</v>
      </c>
      <c r="R40" s="193" cm="1">
        <f t="array" aca="1" ref="R40" ca="1">SUMPRODUCT(
  (Data[Track]=R$36)*
  (Data[Adopt Rebate Opt-In Status]="Opted In")*
  ((Data[Stage]="Eligible") + (Data[Stage]="Expired"))*
  (Data[Adopt Rebate Start Date]&gt;=$Q40)*
  (Data[Adopt Rebate Start Date]&lt; EDATE($Q40,1))
)</f>
        <v>0</v>
      </c>
      <c r="S40" s="193" cm="1">
        <f t="array" aca="1" ref="S40" ca="1">SUMPRODUCT(
  (Data[Track]=S$36)*
  (Data[Adopt Rebate Opt-In Status]="Opted In")*
  ((Data[Stage]="Eligible") + (Data[Stage]="Expired"))*
  (Data[Adopt Rebate Start Date]&gt;=$Q40)*
  (Data[Adopt Rebate Start Date]&lt; EDATE($Q40,1))
)</f>
        <v>0</v>
      </c>
      <c r="T40" s="193" cm="1">
        <f t="array" aca="1" ref="T40" ca="1">SUMPRODUCT(
  (Data[Track]=T$36)*
  (Data[Adopt Rebate Opt-In Status]="Opted In")*
  ((Data[Stage]="Eligible") + (Data[Stage]="Expired"))*
  (Data[Adopt Rebate Start Date]&gt;=$Q40)*
  (Data[Adopt Rebate Start Date]&lt; EDATE($Q40,1))
)</f>
        <v>0</v>
      </c>
      <c r="U40" s="193" cm="1">
        <f t="array" aca="1" ref="U40" ca="1">SUMPRODUCT(
  (Data[Track]=U$36)*
  (Data[Adopt Rebate Opt-In Status]="Opted In")*
  ((Data[Stage]="Eligible") + (Data[Stage]="Expired"))*
  (Data[Adopt Rebate Start Date]&gt;=$Q40)*
  (Data[Adopt Rebate Start Date]&lt; EDATE($Q40,1))
)</f>
        <v>0</v>
      </c>
      <c r="V40" s="193" cm="1">
        <f t="array" aca="1" ref="V40" ca="1">SUMPRODUCT(
  (Data[Track]=V$36)*
  (Data[Adopt Rebate Opt-In Status]="Opted In")*
  ((Data[Stage]="Eligible") + (Data[Stage]="Expired"))*
  (Data[Adopt Rebate Start Date]&gt;=$Q40)*
  (Data[Adopt Rebate Start Date]&lt; EDATE($Q40,1))
)</f>
        <v>0</v>
      </c>
      <c r="W40" s="193" cm="1">
        <f t="array" aca="1" ref="W40" ca="1">SUMPRODUCT(
  (Data[Track]=W$36)*
  (Data[Adopt Rebate Opt-In Status]="Opted In")*
  ((Data[Stage]="Eligible") + (Data[Stage]="Expired"))*
  (Data[Adopt Rebate Start Date]&gt;=$Q40)*
  (Data[Adopt Rebate Start Date]&lt; EDATE($Q40,1))
)</f>
        <v>0</v>
      </c>
      <c r="X40" s="193" cm="1">
        <f t="array" aca="1" ref="X40" ca="1">SUMPRODUCT(
  (Data[Track]=X$36)*
  (Data[Adopt Rebate Opt-In Status]="Opted In")*
  ((Data[Stage]="Eligible") + (Data[Stage]="Expired"))*
  (Data[Adopt Rebate Start Date]&gt;=$Q40)*
  (Data[Adopt Rebate Start Date]&lt; EDATE($Q40,1))
)</f>
        <v>0</v>
      </c>
      <c r="Y40" s="193" cm="1">
        <f t="array" aca="1" ref="Y40" ca="1">SUMPRODUCT(
  (Data[Track]=Y$36)*
  (Data[Adopt Rebate Opt-In Status]="Opted In")*
  ((Data[Stage]="Eligible") + (Data[Stage]="Expired"))*
  (Data[Adopt Rebate Start Date]&gt;=$Q40)*
  (Data[Adopt Rebate Start Date]&lt; EDATE($Q40,1))
)</f>
        <v>0</v>
      </c>
      <c r="Z40" s="193" cm="1">
        <f t="array" aca="1" ref="Z40" ca="1">SUMPRODUCT(
  (Data[Track]=Z$36)*
  (Data[Adopt Rebate Opt-In Status]="Opted In")*
  ((Data[Stage]="Eligible") + (Data[Stage]="Expired"))*
  (Data[Adopt Rebate Start Date]&gt;=$Q40)*
  (Data[Adopt Rebate Start Date]&lt; EDATE($Q40,1))
)</f>
        <v>0</v>
      </c>
      <c r="AA40" s="193" cm="1">
        <f t="array" aca="1" ref="AA40" ca="1">SUMPRODUCT(
  (Data[Track]=AA$36)*
  (Data[Adopt Rebate Opt-In Status]="Opted In")*
  ((Data[Stage]="Eligible") + (Data[Stage]="Expired"))*
  (Data[Adopt Rebate Start Date]&gt;=$Q40)*
  (Data[Adopt Rebate Start Date]&lt; EDATE($Q40,1))
)</f>
        <v>0</v>
      </c>
      <c r="AB40" s="193" cm="1">
        <f t="array" aca="1" ref="AB40" ca="1">SUMPRODUCT(
  (Data[Track]=AB$36)*
  (Data[Adopt Rebate Opt-In Status]="Opted In")*
  ((Data[Stage]="Eligible") + (Data[Stage]="Expired"))*
  (Data[Adopt Rebate Start Date]&gt;=$Q40)*
  (Data[Adopt Rebate Start Date]&lt; EDATE($Q40,1))
)</f>
        <v>0</v>
      </c>
      <c r="AC40" s="193" cm="1">
        <f t="array" aca="1" ref="AC40" ca="1">SUMPRODUCT(
  (Data[Track]=AC$36)*
  (Data[Adopt Rebate Opt-In Status]="Opted In")*
  ((Data[Stage]="Eligible") + (Data[Stage]="Expired"))*
  (Data[Adopt Rebate Start Date]&gt;=$Q40)*
  (Data[Adopt Rebate Start Date]&lt; EDATE($Q40,1))
)</f>
        <v>0</v>
      </c>
      <c r="AD40" s="194" cm="1">
        <f t="array" aca="1" ref="AD40" ca="1">SUM(_xlfn._xlws.FILTER($R40:$AC40, ISNUMBER(MATCH(_xlfn.ANCHORARRAY($R$36), _xlfn._xlws.FILTER(Hierarchy[[Offer]:[Offer]], Hierarchy[[Domain]:[Domain]]=AD$36), 0)), 0))</f>
        <v>0</v>
      </c>
      <c r="AE40" s="194" cm="1">
        <f t="array" aca="1" ref="AE40" ca="1">SUM(_xlfn._xlws.FILTER($R40:$AC40, ISNUMBER(MATCH(_xlfn.ANCHORARRAY($R$36), _xlfn._xlws.FILTER(Hierarchy[[Offer]:[Offer]], Hierarchy[[Domain]:[Domain]]=AE$36), 0)), 0))</f>
        <v>0</v>
      </c>
      <c r="AF40" s="194" cm="1">
        <f t="array" aca="1" ref="AF40" ca="1">SUM(_xlfn._xlws.FILTER($R40:$AC40, ISNUMBER(MATCH(_xlfn.ANCHORARRAY($R$36), _xlfn._xlws.FILTER(Hierarchy[[Offer]:[Offer]], Hierarchy[[Domain]:[Domain]]=AF$36), 0)), 0))</f>
        <v>0</v>
      </c>
      <c r="AG40" s="194" cm="1">
        <f t="array" aca="1" ref="AG40" ca="1">SUM(_xlfn._xlws.FILTER($R40:$AC40, ISNUMBER(MATCH(_xlfn.ANCHORARRAY($R$36), _xlfn._xlws.FILTER(Hierarchy[[Offer]:[Offer]], Hierarchy[[Domain]:[Domain]]=AG$36), 0)), 0))</f>
        <v>0</v>
      </c>
      <c r="AH40" s="52"/>
      <c r="AJ40" t="s">
        <v>311</v>
      </c>
    </row>
    <row r="41" spans="4:36" x14ac:dyDescent="0.4">
      <c r="D41" t="s">
        <v>181</v>
      </c>
      <c r="E41" s="62">
        <v>46320</v>
      </c>
      <c r="F41" s="62">
        <v>46347</v>
      </c>
      <c r="G41">
        <v>40</v>
      </c>
      <c r="Q41" s="192">
        <f ca="1"/>
        <v>46023</v>
      </c>
      <c r="R41" s="193" cm="1">
        <f t="array" aca="1" ref="R41" ca="1">SUMPRODUCT(
  (Data[Track]=R$36)*
  (Data[Adopt Rebate Opt-In Status]="Opted In")*
  ((Data[Stage]="Eligible") + (Data[Stage]="Expired"))*
  (Data[Adopt Rebate Start Date]&gt;=$Q41)*
  (Data[Adopt Rebate Start Date]&lt; EDATE($Q41,1))
)</f>
        <v>0</v>
      </c>
      <c r="S41" s="193" cm="1">
        <f t="array" aca="1" ref="S41" ca="1">SUMPRODUCT(
  (Data[Track]=S$36)*
  (Data[Adopt Rebate Opt-In Status]="Opted In")*
  ((Data[Stage]="Eligible") + (Data[Stage]="Expired"))*
  (Data[Adopt Rebate Start Date]&gt;=$Q41)*
  (Data[Adopt Rebate Start Date]&lt; EDATE($Q41,1))
)</f>
        <v>0</v>
      </c>
      <c r="T41" s="193" cm="1">
        <f t="array" aca="1" ref="T41" ca="1">SUMPRODUCT(
  (Data[Track]=T$36)*
  (Data[Adopt Rebate Opt-In Status]="Opted In")*
  ((Data[Stage]="Eligible") + (Data[Stage]="Expired"))*
  (Data[Adopt Rebate Start Date]&gt;=$Q41)*
  (Data[Adopt Rebate Start Date]&lt; EDATE($Q41,1))
)</f>
        <v>0</v>
      </c>
      <c r="U41" s="193" cm="1">
        <f t="array" aca="1" ref="U41" ca="1">SUMPRODUCT(
  (Data[Track]=U$36)*
  (Data[Adopt Rebate Opt-In Status]="Opted In")*
  ((Data[Stage]="Eligible") + (Data[Stage]="Expired"))*
  (Data[Adopt Rebate Start Date]&gt;=$Q41)*
  (Data[Adopt Rebate Start Date]&lt; EDATE($Q41,1))
)</f>
        <v>0</v>
      </c>
      <c r="V41" s="193" cm="1">
        <f t="array" aca="1" ref="V41" ca="1">SUMPRODUCT(
  (Data[Track]=V$36)*
  (Data[Adopt Rebate Opt-In Status]="Opted In")*
  ((Data[Stage]="Eligible") + (Data[Stage]="Expired"))*
  (Data[Adopt Rebate Start Date]&gt;=$Q41)*
  (Data[Adopt Rebate Start Date]&lt; EDATE($Q41,1))
)</f>
        <v>0</v>
      </c>
      <c r="W41" s="193" cm="1">
        <f t="array" aca="1" ref="W41" ca="1">SUMPRODUCT(
  (Data[Track]=W$36)*
  (Data[Adopt Rebate Opt-In Status]="Opted In")*
  ((Data[Stage]="Eligible") + (Data[Stage]="Expired"))*
  (Data[Adopt Rebate Start Date]&gt;=$Q41)*
  (Data[Adopt Rebate Start Date]&lt; EDATE($Q41,1))
)</f>
        <v>0</v>
      </c>
      <c r="X41" s="193" cm="1">
        <f t="array" aca="1" ref="X41" ca="1">SUMPRODUCT(
  (Data[Track]=X$36)*
  (Data[Adopt Rebate Opt-In Status]="Opted In")*
  ((Data[Stage]="Eligible") + (Data[Stage]="Expired"))*
  (Data[Adopt Rebate Start Date]&gt;=$Q41)*
  (Data[Adopt Rebate Start Date]&lt; EDATE($Q41,1))
)</f>
        <v>0</v>
      </c>
      <c r="Y41" s="193" cm="1">
        <f t="array" aca="1" ref="Y41" ca="1">SUMPRODUCT(
  (Data[Track]=Y$36)*
  (Data[Adopt Rebate Opt-In Status]="Opted In")*
  ((Data[Stage]="Eligible") + (Data[Stage]="Expired"))*
  (Data[Adopt Rebate Start Date]&gt;=$Q41)*
  (Data[Adopt Rebate Start Date]&lt; EDATE($Q41,1))
)</f>
        <v>0</v>
      </c>
      <c r="Z41" s="193" cm="1">
        <f t="array" aca="1" ref="Z41" ca="1">SUMPRODUCT(
  (Data[Track]=Z$36)*
  (Data[Adopt Rebate Opt-In Status]="Opted In")*
  ((Data[Stage]="Eligible") + (Data[Stage]="Expired"))*
  (Data[Adopt Rebate Start Date]&gt;=$Q41)*
  (Data[Adopt Rebate Start Date]&lt; EDATE($Q41,1))
)</f>
        <v>0</v>
      </c>
      <c r="AA41" s="193" cm="1">
        <f t="array" aca="1" ref="AA41" ca="1">SUMPRODUCT(
  (Data[Track]=AA$36)*
  (Data[Adopt Rebate Opt-In Status]="Opted In")*
  ((Data[Stage]="Eligible") + (Data[Stage]="Expired"))*
  (Data[Adopt Rebate Start Date]&gt;=$Q41)*
  (Data[Adopt Rebate Start Date]&lt; EDATE($Q41,1))
)</f>
        <v>0</v>
      </c>
      <c r="AB41" s="193" cm="1">
        <f t="array" aca="1" ref="AB41" ca="1">SUMPRODUCT(
  (Data[Track]=AB$36)*
  (Data[Adopt Rebate Opt-In Status]="Opted In")*
  ((Data[Stage]="Eligible") + (Data[Stage]="Expired"))*
  (Data[Adopt Rebate Start Date]&gt;=$Q41)*
  (Data[Adopt Rebate Start Date]&lt; EDATE($Q41,1))
)</f>
        <v>0</v>
      </c>
      <c r="AC41" s="193" cm="1">
        <f t="array" aca="1" ref="AC41" ca="1">SUMPRODUCT(
  (Data[Track]=AC$36)*
  (Data[Adopt Rebate Opt-In Status]="Opted In")*
  ((Data[Stage]="Eligible") + (Data[Stage]="Expired"))*
  (Data[Adopt Rebate Start Date]&gt;=$Q41)*
  (Data[Adopt Rebate Start Date]&lt; EDATE($Q41,1))
)</f>
        <v>0</v>
      </c>
      <c r="AD41" s="194" cm="1">
        <f t="array" aca="1" ref="AD41" ca="1">SUM(_xlfn._xlws.FILTER($R41:$AC41, ISNUMBER(MATCH(_xlfn.ANCHORARRAY($R$36), _xlfn._xlws.FILTER(Hierarchy[[Offer]:[Offer]], Hierarchy[[Domain]:[Domain]]=AD$36), 0)), 0))</f>
        <v>0</v>
      </c>
      <c r="AE41" s="194" cm="1">
        <f t="array" aca="1" ref="AE41" ca="1">SUM(_xlfn._xlws.FILTER($R41:$AC41, ISNUMBER(MATCH(_xlfn.ANCHORARRAY($R$36), _xlfn._xlws.FILTER(Hierarchy[[Offer]:[Offer]], Hierarchy[[Domain]:[Domain]]=AE$36), 0)), 0))</f>
        <v>0</v>
      </c>
      <c r="AF41" s="194" cm="1">
        <f t="array" aca="1" ref="AF41" ca="1">SUM(_xlfn._xlws.FILTER($R41:$AC41, ISNUMBER(MATCH(_xlfn.ANCHORARRAY($R$36), _xlfn._xlws.FILTER(Hierarchy[[Offer]:[Offer]], Hierarchy[[Domain]:[Domain]]=AF$36), 0)), 0))</f>
        <v>0</v>
      </c>
      <c r="AG41" s="194" cm="1">
        <f t="array" aca="1" ref="AG41" ca="1">SUM(_xlfn._xlws.FILTER($R41:$AC41, ISNUMBER(MATCH(_xlfn.ANCHORARRAY($R$36), _xlfn._xlws.FILTER(Hierarchy[[Offer]:[Offer]], Hierarchy[[Domain]:[Domain]]=AG$36), 0)), 0))</f>
        <v>0</v>
      </c>
      <c r="AH41" s="52"/>
      <c r="AJ41" t="s">
        <v>312</v>
      </c>
    </row>
    <row r="42" spans="4:36" x14ac:dyDescent="0.4">
      <c r="D42" t="s">
        <v>182</v>
      </c>
      <c r="E42" s="62">
        <v>46348</v>
      </c>
      <c r="F42" s="62">
        <v>46375</v>
      </c>
      <c r="G42">
        <v>41</v>
      </c>
      <c r="Q42" s="192">
        <f ca="1"/>
        <v>45992</v>
      </c>
      <c r="R42" s="193" cm="1">
        <f t="array" aca="1" ref="R42" ca="1">SUMPRODUCT(
  (Data[Track]=R$36)*
  (Data[Adopt Rebate Opt-In Status]="Opted In")*
  ((Data[Stage]="Eligible") + (Data[Stage]="Expired"))*
  (Data[Adopt Rebate Start Date]&gt;=$Q42)*
  (Data[Adopt Rebate Start Date]&lt; EDATE($Q42,1))
)</f>
        <v>0</v>
      </c>
      <c r="S42" s="193" cm="1">
        <f t="array" aca="1" ref="S42" ca="1">SUMPRODUCT(
  (Data[Track]=S$36)*
  (Data[Adopt Rebate Opt-In Status]="Opted In")*
  ((Data[Stage]="Eligible") + (Data[Stage]="Expired"))*
  (Data[Adopt Rebate Start Date]&gt;=$Q42)*
  (Data[Adopt Rebate Start Date]&lt; EDATE($Q42,1))
)</f>
        <v>0</v>
      </c>
      <c r="T42" s="193" cm="1">
        <f t="array" aca="1" ref="T42" ca="1">SUMPRODUCT(
  (Data[Track]=T$36)*
  (Data[Adopt Rebate Opt-In Status]="Opted In")*
  ((Data[Stage]="Eligible") + (Data[Stage]="Expired"))*
  (Data[Adopt Rebate Start Date]&gt;=$Q42)*
  (Data[Adopt Rebate Start Date]&lt; EDATE($Q42,1))
)</f>
        <v>0</v>
      </c>
      <c r="U42" s="193" cm="1">
        <f t="array" aca="1" ref="U42" ca="1">SUMPRODUCT(
  (Data[Track]=U$36)*
  (Data[Adopt Rebate Opt-In Status]="Opted In")*
  ((Data[Stage]="Eligible") + (Data[Stage]="Expired"))*
  (Data[Adopt Rebate Start Date]&gt;=$Q42)*
  (Data[Adopt Rebate Start Date]&lt; EDATE($Q42,1))
)</f>
        <v>0</v>
      </c>
      <c r="V42" s="193" cm="1">
        <f t="array" aca="1" ref="V42" ca="1">SUMPRODUCT(
  (Data[Track]=V$36)*
  (Data[Adopt Rebate Opt-In Status]="Opted In")*
  ((Data[Stage]="Eligible") + (Data[Stage]="Expired"))*
  (Data[Adopt Rebate Start Date]&gt;=$Q42)*
  (Data[Adopt Rebate Start Date]&lt; EDATE($Q42,1))
)</f>
        <v>0</v>
      </c>
      <c r="W42" s="193" cm="1">
        <f t="array" aca="1" ref="W42" ca="1">SUMPRODUCT(
  (Data[Track]=W$36)*
  (Data[Adopt Rebate Opt-In Status]="Opted In")*
  ((Data[Stage]="Eligible") + (Data[Stage]="Expired"))*
  (Data[Adopt Rebate Start Date]&gt;=$Q42)*
  (Data[Adopt Rebate Start Date]&lt; EDATE($Q42,1))
)</f>
        <v>0</v>
      </c>
      <c r="X42" s="193" cm="1">
        <f t="array" aca="1" ref="X42" ca="1">SUMPRODUCT(
  (Data[Track]=X$36)*
  (Data[Adopt Rebate Opt-In Status]="Opted In")*
  ((Data[Stage]="Eligible") + (Data[Stage]="Expired"))*
  (Data[Adopt Rebate Start Date]&gt;=$Q42)*
  (Data[Adopt Rebate Start Date]&lt; EDATE($Q42,1))
)</f>
        <v>0</v>
      </c>
      <c r="Y42" s="193" cm="1">
        <f t="array" aca="1" ref="Y42" ca="1">SUMPRODUCT(
  (Data[Track]=Y$36)*
  (Data[Adopt Rebate Opt-In Status]="Opted In")*
  ((Data[Stage]="Eligible") + (Data[Stage]="Expired"))*
  (Data[Adopt Rebate Start Date]&gt;=$Q42)*
  (Data[Adopt Rebate Start Date]&lt; EDATE($Q42,1))
)</f>
        <v>0</v>
      </c>
      <c r="Z42" s="193" cm="1">
        <f t="array" aca="1" ref="Z42" ca="1">SUMPRODUCT(
  (Data[Track]=Z$36)*
  (Data[Adopt Rebate Opt-In Status]="Opted In")*
  ((Data[Stage]="Eligible") + (Data[Stage]="Expired"))*
  (Data[Adopt Rebate Start Date]&gt;=$Q42)*
  (Data[Adopt Rebate Start Date]&lt; EDATE($Q42,1))
)</f>
        <v>0</v>
      </c>
      <c r="AA42" s="193" cm="1">
        <f t="array" aca="1" ref="AA42" ca="1">SUMPRODUCT(
  (Data[Track]=AA$36)*
  (Data[Adopt Rebate Opt-In Status]="Opted In")*
  ((Data[Stage]="Eligible") + (Data[Stage]="Expired"))*
  (Data[Adopt Rebate Start Date]&gt;=$Q42)*
  (Data[Adopt Rebate Start Date]&lt; EDATE($Q42,1))
)</f>
        <v>0</v>
      </c>
      <c r="AB42" s="193" cm="1">
        <f t="array" aca="1" ref="AB42" ca="1">SUMPRODUCT(
  (Data[Track]=AB$36)*
  (Data[Adopt Rebate Opt-In Status]="Opted In")*
  ((Data[Stage]="Eligible") + (Data[Stage]="Expired"))*
  (Data[Adopt Rebate Start Date]&gt;=$Q42)*
  (Data[Adopt Rebate Start Date]&lt; EDATE($Q42,1))
)</f>
        <v>0</v>
      </c>
      <c r="AC42" s="193" cm="1">
        <f t="array" aca="1" ref="AC42" ca="1">SUMPRODUCT(
  (Data[Track]=AC$36)*
  (Data[Adopt Rebate Opt-In Status]="Opted In")*
  ((Data[Stage]="Eligible") + (Data[Stage]="Expired"))*
  (Data[Adopt Rebate Start Date]&gt;=$Q42)*
  (Data[Adopt Rebate Start Date]&lt; EDATE($Q42,1))
)</f>
        <v>0</v>
      </c>
      <c r="AD42" s="194" cm="1">
        <f t="array" aca="1" ref="AD42" ca="1">SUM(_xlfn._xlws.FILTER($R42:$AC42, ISNUMBER(MATCH(_xlfn.ANCHORARRAY($R$36), _xlfn._xlws.FILTER(Hierarchy[[Offer]:[Offer]], Hierarchy[[Domain]:[Domain]]=AD$36), 0)), 0))</f>
        <v>0</v>
      </c>
      <c r="AE42" s="194" cm="1">
        <f t="array" aca="1" ref="AE42" ca="1">SUM(_xlfn._xlws.FILTER($R42:$AC42, ISNUMBER(MATCH(_xlfn.ANCHORARRAY($R$36), _xlfn._xlws.FILTER(Hierarchy[[Offer]:[Offer]], Hierarchy[[Domain]:[Domain]]=AE$36), 0)), 0))</f>
        <v>0</v>
      </c>
      <c r="AF42" s="194" cm="1">
        <f t="array" aca="1" ref="AF42" ca="1">SUM(_xlfn._xlws.FILTER($R42:$AC42, ISNUMBER(MATCH(_xlfn.ANCHORARRAY($R$36), _xlfn._xlws.FILTER(Hierarchy[[Offer]:[Offer]], Hierarchy[[Domain]:[Domain]]=AF$36), 0)), 0))</f>
        <v>0</v>
      </c>
      <c r="AG42" s="194" cm="1">
        <f t="array" aca="1" ref="AG42" ca="1">SUM(_xlfn._xlws.FILTER($R42:$AC42, ISNUMBER(MATCH(_xlfn.ANCHORARRAY($R$36), _xlfn._xlws.FILTER(Hierarchy[[Offer]:[Offer]], Hierarchy[[Domain]:[Domain]]=AG$36), 0)), 0))</f>
        <v>0</v>
      </c>
      <c r="AH42" s="52"/>
      <c r="AJ42" t="s">
        <v>313</v>
      </c>
    </row>
    <row r="43" spans="4:36" x14ac:dyDescent="0.4">
      <c r="D43" t="s">
        <v>183</v>
      </c>
      <c r="E43" s="62">
        <v>46376</v>
      </c>
      <c r="F43" s="62">
        <v>46410</v>
      </c>
      <c r="G43">
        <v>42</v>
      </c>
      <c r="Q43" s="192">
        <f ca="1"/>
        <v>45962</v>
      </c>
      <c r="R43" s="193" cm="1">
        <f t="array" aca="1" ref="R43" ca="1">SUMPRODUCT(
  (Data[Track]=R$36)*
  (Data[Adopt Rebate Opt-In Status]="Opted In")*
  ((Data[Stage]="Eligible") + (Data[Stage]="Expired"))*
  (Data[Adopt Rebate Start Date]&gt;=$Q43)*
  (Data[Adopt Rebate Start Date]&lt; EDATE($Q43,1))
)</f>
        <v>0</v>
      </c>
      <c r="S43" s="193" cm="1">
        <f t="array" aca="1" ref="S43" ca="1">SUMPRODUCT(
  (Data[Track]=S$36)*
  (Data[Adopt Rebate Opt-In Status]="Opted In")*
  ((Data[Stage]="Eligible") + (Data[Stage]="Expired"))*
  (Data[Adopt Rebate Start Date]&gt;=$Q43)*
  (Data[Adopt Rebate Start Date]&lt; EDATE($Q43,1))
)</f>
        <v>0</v>
      </c>
      <c r="T43" s="193" cm="1">
        <f t="array" aca="1" ref="T43" ca="1">SUMPRODUCT(
  (Data[Track]=T$36)*
  (Data[Adopt Rebate Opt-In Status]="Opted In")*
  ((Data[Stage]="Eligible") + (Data[Stage]="Expired"))*
  (Data[Adopt Rebate Start Date]&gt;=$Q43)*
  (Data[Adopt Rebate Start Date]&lt; EDATE($Q43,1))
)</f>
        <v>0</v>
      </c>
      <c r="U43" s="193" cm="1">
        <f t="array" aca="1" ref="U43" ca="1">SUMPRODUCT(
  (Data[Track]=U$36)*
  (Data[Adopt Rebate Opt-In Status]="Opted In")*
  ((Data[Stage]="Eligible") + (Data[Stage]="Expired"))*
  (Data[Adopt Rebate Start Date]&gt;=$Q43)*
  (Data[Adopt Rebate Start Date]&lt; EDATE($Q43,1))
)</f>
        <v>0</v>
      </c>
      <c r="V43" s="193" cm="1">
        <f t="array" aca="1" ref="V43" ca="1">SUMPRODUCT(
  (Data[Track]=V$36)*
  (Data[Adopt Rebate Opt-In Status]="Opted In")*
  ((Data[Stage]="Eligible") + (Data[Stage]="Expired"))*
  (Data[Adopt Rebate Start Date]&gt;=$Q43)*
  (Data[Adopt Rebate Start Date]&lt; EDATE($Q43,1))
)</f>
        <v>0</v>
      </c>
      <c r="W43" s="193" cm="1">
        <f t="array" aca="1" ref="W43" ca="1">SUMPRODUCT(
  (Data[Track]=W$36)*
  (Data[Adopt Rebate Opt-In Status]="Opted In")*
  ((Data[Stage]="Eligible") + (Data[Stage]="Expired"))*
  (Data[Adopt Rebate Start Date]&gt;=$Q43)*
  (Data[Adopt Rebate Start Date]&lt; EDATE($Q43,1))
)</f>
        <v>0</v>
      </c>
      <c r="X43" s="193" cm="1">
        <f t="array" aca="1" ref="X43" ca="1">SUMPRODUCT(
  (Data[Track]=X$36)*
  (Data[Adopt Rebate Opt-In Status]="Opted In")*
  ((Data[Stage]="Eligible") + (Data[Stage]="Expired"))*
  (Data[Adopt Rebate Start Date]&gt;=$Q43)*
  (Data[Adopt Rebate Start Date]&lt; EDATE($Q43,1))
)</f>
        <v>0</v>
      </c>
      <c r="Y43" s="193" cm="1">
        <f t="array" aca="1" ref="Y43" ca="1">SUMPRODUCT(
  (Data[Track]=Y$36)*
  (Data[Adopt Rebate Opt-In Status]="Opted In")*
  ((Data[Stage]="Eligible") + (Data[Stage]="Expired"))*
  (Data[Adopt Rebate Start Date]&gt;=$Q43)*
  (Data[Adopt Rebate Start Date]&lt; EDATE($Q43,1))
)</f>
        <v>0</v>
      </c>
      <c r="Z43" s="193" cm="1">
        <f t="array" aca="1" ref="Z43" ca="1">SUMPRODUCT(
  (Data[Track]=Z$36)*
  (Data[Adopt Rebate Opt-In Status]="Opted In")*
  ((Data[Stage]="Eligible") + (Data[Stage]="Expired"))*
  (Data[Adopt Rebate Start Date]&gt;=$Q43)*
  (Data[Adopt Rebate Start Date]&lt; EDATE($Q43,1))
)</f>
        <v>0</v>
      </c>
      <c r="AA43" s="193" cm="1">
        <f t="array" aca="1" ref="AA43" ca="1">SUMPRODUCT(
  (Data[Track]=AA$36)*
  (Data[Adopt Rebate Opt-In Status]="Opted In")*
  ((Data[Stage]="Eligible") + (Data[Stage]="Expired"))*
  (Data[Adopt Rebate Start Date]&gt;=$Q43)*
  (Data[Adopt Rebate Start Date]&lt; EDATE($Q43,1))
)</f>
        <v>0</v>
      </c>
      <c r="AB43" s="193" cm="1">
        <f t="array" aca="1" ref="AB43" ca="1">SUMPRODUCT(
  (Data[Track]=AB$36)*
  (Data[Adopt Rebate Opt-In Status]="Opted In")*
  ((Data[Stage]="Eligible") + (Data[Stage]="Expired"))*
  (Data[Adopt Rebate Start Date]&gt;=$Q43)*
  (Data[Adopt Rebate Start Date]&lt; EDATE($Q43,1))
)</f>
        <v>0</v>
      </c>
      <c r="AC43" s="193" cm="1">
        <f t="array" aca="1" ref="AC43" ca="1">SUMPRODUCT(
  (Data[Track]=AC$36)*
  (Data[Adopt Rebate Opt-In Status]="Opted In")*
  ((Data[Stage]="Eligible") + (Data[Stage]="Expired"))*
  (Data[Adopt Rebate Start Date]&gt;=$Q43)*
  (Data[Adopt Rebate Start Date]&lt; EDATE($Q43,1))
)</f>
        <v>0</v>
      </c>
      <c r="AD43" s="194" cm="1">
        <f t="array" aca="1" ref="AD43" ca="1">SUM(_xlfn._xlws.FILTER($R43:$AC43, ISNUMBER(MATCH(_xlfn.ANCHORARRAY($R$36), _xlfn._xlws.FILTER(Hierarchy[[Offer]:[Offer]], Hierarchy[[Domain]:[Domain]]=AD$36), 0)), 0))</f>
        <v>0</v>
      </c>
      <c r="AE43" s="194" cm="1">
        <f t="array" aca="1" ref="AE43" ca="1">SUM(_xlfn._xlws.FILTER($R43:$AC43, ISNUMBER(MATCH(_xlfn.ANCHORARRAY($R$36), _xlfn._xlws.FILTER(Hierarchy[[Offer]:[Offer]], Hierarchy[[Domain]:[Domain]]=AE$36), 0)), 0))</f>
        <v>0</v>
      </c>
      <c r="AF43" s="194" cm="1">
        <f t="array" aca="1" ref="AF43" ca="1">SUM(_xlfn._xlws.FILTER($R43:$AC43, ISNUMBER(MATCH(_xlfn.ANCHORARRAY($R$36), _xlfn._xlws.FILTER(Hierarchy[[Offer]:[Offer]], Hierarchy[[Domain]:[Domain]]=AF$36), 0)), 0))</f>
        <v>0</v>
      </c>
      <c r="AG43" s="194" cm="1">
        <f t="array" aca="1" ref="AG43" ca="1">SUM(_xlfn._xlws.FILTER($R43:$AC43, ISNUMBER(MATCH(_xlfn.ANCHORARRAY($R$36), _xlfn._xlws.FILTER(Hierarchy[[Offer]:[Offer]], Hierarchy[[Domain]:[Domain]]=AG$36), 0)), 0))</f>
        <v>0</v>
      </c>
      <c r="AH43" s="52"/>
      <c r="AJ43" t="s">
        <v>314</v>
      </c>
    </row>
    <row r="44" spans="4:36" x14ac:dyDescent="0.4">
      <c r="D44" t="s">
        <v>184</v>
      </c>
      <c r="E44" s="62">
        <v>46411</v>
      </c>
      <c r="F44" s="62">
        <v>46438</v>
      </c>
      <c r="G44">
        <v>43</v>
      </c>
      <c r="Q44" s="192">
        <f ca="1"/>
        <v>45931</v>
      </c>
      <c r="R44" s="193" cm="1">
        <f t="array" aca="1" ref="R44" ca="1">SUMPRODUCT(
  (Data[Track]=R$36)*
  (Data[Adopt Rebate Opt-In Status]="Opted In")*
  ((Data[Stage]="Eligible") + (Data[Stage]="Expired"))*
  (Data[Adopt Rebate Start Date]&gt;=$Q44)*
  (Data[Adopt Rebate Start Date]&lt; EDATE($Q44,1))
)</f>
        <v>0</v>
      </c>
      <c r="S44" s="193" cm="1">
        <f t="array" aca="1" ref="S44" ca="1">SUMPRODUCT(
  (Data[Track]=S$36)*
  (Data[Adopt Rebate Opt-In Status]="Opted In")*
  ((Data[Stage]="Eligible") + (Data[Stage]="Expired"))*
  (Data[Adopt Rebate Start Date]&gt;=$Q44)*
  (Data[Adopt Rebate Start Date]&lt; EDATE($Q44,1))
)</f>
        <v>0</v>
      </c>
      <c r="T44" s="193" cm="1">
        <f t="array" aca="1" ref="T44" ca="1">SUMPRODUCT(
  (Data[Track]=T$36)*
  (Data[Adopt Rebate Opt-In Status]="Opted In")*
  ((Data[Stage]="Eligible") + (Data[Stage]="Expired"))*
  (Data[Adopt Rebate Start Date]&gt;=$Q44)*
  (Data[Adopt Rebate Start Date]&lt; EDATE($Q44,1))
)</f>
        <v>0</v>
      </c>
      <c r="U44" s="193" cm="1">
        <f t="array" aca="1" ref="U44" ca="1">SUMPRODUCT(
  (Data[Track]=U$36)*
  (Data[Adopt Rebate Opt-In Status]="Opted In")*
  ((Data[Stage]="Eligible") + (Data[Stage]="Expired"))*
  (Data[Adopt Rebate Start Date]&gt;=$Q44)*
  (Data[Adopt Rebate Start Date]&lt; EDATE($Q44,1))
)</f>
        <v>0</v>
      </c>
      <c r="V44" s="193" cm="1">
        <f t="array" aca="1" ref="V44" ca="1">SUMPRODUCT(
  (Data[Track]=V$36)*
  (Data[Adopt Rebate Opt-In Status]="Opted In")*
  ((Data[Stage]="Eligible") + (Data[Stage]="Expired"))*
  (Data[Adopt Rebate Start Date]&gt;=$Q44)*
  (Data[Adopt Rebate Start Date]&lt; EDATE($Q44,1))
)</f>
        <v>0</v>
      </c>
      <c r="W44" s="193" cm="1">
        <f t="array" aca="1" ref="W44" ca="1">SUMPRODUCT(
  (Data[Track]=W$36)*
  (Data[Adopt Rebate Opt-In Status]="Opted In")*
  ((Data[Stage]="Eligible") + (Data[Stage]="Expired"))*
  (Data[Adopt Rebate Start Date]&gt;=$Q44)*
  (Data[Adopt Rebate Start Date]&lt; EDATE($Q44,1))
)</f>
        <v>0</v>
      </c>
      <c r="X44" s="193" cm="1">
        <f t="array" aca="1" ref="X44" ca="1">SUMPRODUCT(
  (Data[Track]=X$36)*
  (Data[Adopt Rebate Opt-In Status]="Opted In")*
  ((Data[Stage]="Eligible") + (Data[Stage]="Expired"))*
  (Data[Adopt Rebate Start Date]&gt;=$Q44)*
  (Data[Adopt Rebate Start Date]&lt; EDATE($Q44,1))
)</f>
        <v>0</v>
      </c>
      <c r="Y44" s="193" cm="1">
        <f t="array" aca="1" ref="Y44" ca="1">SUMPRODUCT(
  (Data[Track]=Y$36)*
  (Data[Adopt Rebate Opt-In Status]="Opted In")*
  ((Data[Stage]="Eligible") + (Data[Stage]="Expired"))*
  (Data[Adopt Rebate Start Date]&gt;=$Q44)*
  (Data[Adopt Rebate Start Date]&lt; EDATE($Q44,1))
)</f>
        <v>0</v>
      </c>
      <c r="Z44" s="193" cm="1">
        <f t="array" aca="1" ref="Z44" ca="1">SUMPRODUCT(
  (Data[Track]=Z$36)*
  (Data[Adopt Rebate Opt-In Status]="Opted In")*
  ((Data[Stage]="Eligible") + (Data[Stage]="Expired"))*
  (Data[Adopt Rebate Start Date]&gt;=$Q44)*
  (Data[Adopt Rebate Start Date]&lt; EDATE($Q44,1))
)</f>
        <v>0</v>
      </c>
      <c r="AA44" s="193" cm="1">
        <f t="array" aca="1" ref="AA44" ca="1">SUMPRODUCT(
  (Data[Track]=AA$36)*
  (Data[Adopt Rebate Opt-In Status]="Opted In")*
  ((Data[Stage]="Eligible") + (Data[Stage]="Expired"))*
  (Data[Adopt Rebate Start Date]&gt;=$Q44)*
  (Data[Adopt Rebate Start Date]&lt; EDATE($Q44,1))
)</f>
        <v>0</v>
      </c>
      <c r="AB44" s="193" cm="1">
        <f t="array" aca="1" ref="AB44" ca="1">SUMPRODUCT(
  (Data[Track]=AB$36)*
  (Data[Adopt Rebate Opt-In Status]="Opted In")*
  ((Data[Stage]="Eligible") + (Data[Stage]="Expired"))*
  (Data[Adopt Rebate Start Date]&gt;=$Q44)*
  (Data[Adopt Rebate Start Date]&lt; EDATE($Q44,1))
)</f>
        <v>0</v>
      </c>
      <c r="AC44" s="193" cm="1">
        <f t="array" aca="1" ref="AC44" ca="1">SUMPRODUCT(
  (Data[Track]=AC$36)*
  (Data[Adopt Rebate Opt-In Status]="Opted In")*
  ((Data[Stage]="Eligible") + (Data[Stage]="Expired"))*
  (Data[Adopt Rebate Start Date]&gt;=$Q44)*
  (Data[Adopt Rebate Start Date]&lt; EDATE($Q44,1))
)</f>
        <v>0</v>
      </c>
      <c r="AD44" s="194" cm="1">
        <f t="array" aca="1" ref="AD44" ca="1">SUM(_xlfn._xlws.FILTER($R44:$AC44, ISNUMBER(MATCH(_xlfn.ANCHORARRAY($R$36), _xlfn._xlws.FILTER(Hierarchy[[Offer]:[Offer]], Hierarchy[[Domain]:[Domain]]=AD$36), 0)), 0))</f>
        <v>0</v>
      </c>
      <c r="AE44" s="194" cm="1">
        <f t="array" aca="1" ref="AE44" ca="1">SUM(_xlfn._xlws.FILTER($R44:$AC44, ISNUMBER(MATCH(_xlfn.ANCHORARRAY($R$36), _xlfn._xlws.FILTER(Hierarchy[[Offer]:[Offer]], Hierarchy[[Domain]:[Domain]]=AE$36), 0)), 0))</f>
        <v>0</v>
      </c>
      <c r="AF44" s="194" cm="1">
        <f t="array" aca="1" ref="AF44" ca="1">SUM(_xlfn._xlws.FILTER($R44:$AC44, ISNUMBER(MATCH(_xlfn.ANCHORARRAY($R$36), _xlfn._xlws.FILTER(Hierarchy[[Offer]:[Offer]], Hierarchy[[Domain]:[Domain]]=AF$36), 0)), 0))</f>
        <v>0</v>
      </c>
      <c r="AG44" s="194" cm="1">
        <f t="array" aca="1" ref="AG44" ca="1">SUM(_xlfn._xlws.FILTER($R44:$AC44, ISNUMBER(MATCH(_xlfn.ANCHORARRAY($R$36), _xlfn._xlws.FILTER(Hierarchy[[Offer]:[Offer]], Hierarchy[[Domain]:[Domain]]=AG$36), 0)), 0))</f>
        <v>0</v>
      </c>
      <c r="AH44" s="70"/>
    </row>
    <row r="45" spans="4:36" x14ac:dyDescent="0.4">
      <c r="D45" t="s">
        <v>185</v>
      </c>
      <c r="E45" s="62">
        <v>46439</v>
      </c>
      <c r="F45" s="62">
        <v>46466</v>
      </c>
      <c r="G45">
        <v>44</v>
      </c>
      <c r="Q45" s="192">
        <f ca="1"/>
        <v>45901</v>
      </c>
      <c r="R45" s="193" cm="1">
        <f t="array" aca="1" ref="R45" ca="1">SUMPRODUCT(
  (Data[Track]=R$36)*
  (Data[Adopt Rebate Opt-In Status]="Opted In")*
  ((Data[Stage]="Eligible") + (Data[Stage]="Expired"))*
  (Data[Adopt Rebate Start Date]&gt;=$Q45)*
  (Data[Adopt Rebate Start Date]&lt; EDATE($Q45,1))
)</f>
        <v>0</v>
      </c>
      <c r="S45" s="193" cm="1">
        <f t="array" aca="1" ref="S45" ca="1">SUMPRODUCT(
  (Data[Track]=S$36)*
  (Data[Adopt Rebate Opt-In Status]="Opted In")*
  ((Data[Stage]="Eligible") + (Data[Stage]="Expired"))*
  (Data[Adopt Rebate Start Date]&gt;=$Q45)*
  (Data[Adopt Rebate Start Date]&lt; EDATE($Q45,1))
)</f>
        <v>0</v>
      </c>
      <c r="T45" s="193" cm="1">
        <f t="array" aca="1" ref="T45" ca="1">SUMPRODUCT(
  (Data[Track]=T$36)*
  (Data[Adopt Rebate Opt-In Status]="Opted In")*
  ((Data[Stage]="Eligible") + (Data[Stage]="Expired"))*
  (Data[Adopt Rebate Start Date]&gt;=$Q45)*
  (Data[Adopt Rebate Start Date]&lt; EDATE($Q45,1))
)</f>
        <v>0</v>
      </c>
      <c r="U45" s="193" cm="1">
        <f t="array" aca="1" ref="U45" ca="1">SUMPRODUCT(
  (Data[Track]=U$36)*
  (Data[Adopt Rebate Opt-In Status]="Opted In")*
  ((Data[Stage]="Eligible") + (Data[Stage]="Expired"))*
  (Data[Adopt Rebate Start Date]&gt;=$Q45)*
  (Data[Adopt Rebate Start Date]&lt; EDATE($Q45,1))
)</f>
        <v>0</v>
      </c>
      <c r="V45" s="193" cm="1">
        <f t="array" aca="1" ref="V45" ca="1">SUMPRODUCT(
  (Data[Track]=V$36)*
  (Data[Adopt Rebate Opt-In Status]="Opted In")*
  ((Data[Stage]="Eligible") + (Data[Stage]="Expired"))*
  (Data[Adopt Rebate Start Date]&gt;=$Q45)*
  (Data[Adopt Rebate Start Date]&lt; EDATE($Q45,1))
)</f>
        <v>0</v>
      </c>
      <c r="W45" s="193" cm="1">
        <f t="array" aca="1" ref="W45" ca="1">SUMPRODUCT(
  (Data[Track]=W$36)*
  (Data[Adopt Rebate Opt-In Status]="Opted In")*
  ((Data[Stage]="Eligible") + (Data[Stage]="Expired"))*
  (Data[Adopt Rebate Start Date]&gt;=$Q45)*
  (Data[Adopt Rebate Start Date]&lt; EDATE($Q45,1))
)</f>
        <v>0</v>
      </c>
      <c r="X45" s="193" cm="1">
        <f t="array" aca="1" ref="X45" ca="1">SUMPRODUCT(
  (Data[Track]=X$36)*
  (Data[Adopt Rebate Opt-In Status]="Opted In")*
  ((Data[Stage]="Eligible") + (Data[Stage]="Expired"))*
  (Data[Adopt Rebate Start Date]&gt;=$Q45)*
  (Data[Adopt Rebate Start Date]&lt; EDATE($Q45,1))
)</f>
        <v>0</v>
      </c>
      <c r="Y45" s="193" cm="1">
        <f t="array" aca="1" ref="Y45" ca="1">SUMPRODUCT(
  (Data[Track]=Y$36)*
  (Data[Adopt Rebate Opt-In Status]="Opted In")*
  ((Data[Stage]="Eligible") + (Data[Stage]="Expired"))*
  (Data[Adopt Rebate Start Date]&gt;=$Q45)*
  (Data[Adopt Rebate Start Date]&lt; EDATE($Q45,1))
)</f>
        <v>0</v>
      </c>
      <c r="Z45" s="193" cm="1">
        <f t="array" aca="1" ref="Z45" ca="1">SUMPRODUCT(
  (Data[Track]=Z$36)*
  (Data[Adopt Rebate Opt-In Status]="Opted In")*
  ((Data[Stage]="Eligible") + (Data[Stage]="Expired"))*
  (Data[Adopt Rebate Start Date]&gt;=$Q45)*
  (Data[Adopt Rebate Start Date]&lt; EDATE($Q45,1))
)</f>
        <v>0</v>
      </c>
      <c r="AA45" s="193" cm="1">
        <f t="array" aca="1" ref="AA45" ca="1">SUMPRODUCT(
  (Data[Track]=AA$36)*
  (Data[Adopt Rebate Opt-In Status]="Opted In")*
  ((Data[Stage]="Eligible") + (Data[Stage]="Expired"))*
  (Data[Adopt Rebate Start Date]&gt;=$Q45)*
  (Data[Adopt Rebate Start Date]&lt; EDATE($Q45,1))
)</f>
        <v>0</v>
      </c>
      <c r="AB45" s="193" cm="1">
        <f t="array" aca="1" ref="AB45" ca="1">SUMPRODUCT(
  (Data[Track]=AB$36)*
  (Data[Adopt Rebate Opt-In Status]="Opted In")*
  ((Data[Stage]="Eligible") + (Data[Stage]="Expired"))*
  (Data[Adopt Rebate Start Date]&gt;=$Q45)*
  (Data[Adopt Rebate Start Date]&lt; EDATE($Q45,1))
)</f>
        <v>0</v>
      </c>
      <c r="AC45" s="193" cm="1">
        <f t="array" aca="1" ref="AC45" ca="1">SUMPRODUCT(
  (Data[Track]=AC$36)*
  (Data[Adopt Rebate Opt-In Status]="Opted In")*
  ((Data[Stage]="Eligible") + (Data[Stage]="Expired"))*
  (Data[Adopt Rebate Start Date]&gt;=$Q45)*
  (Data[Adopt Rebate Start Date]&lt; EDATE($Q45,1))
)</f>
        <v>0</v>
      </c>
      <c r="AD45" s="194" cm="1">
        <f t="array" aca="1" ref="AD45" ca="1">SUM(_xlfn._xlws.FILTER($R45:$AC45, ISNUMBER(MATCH(_xlfn.ANCHORARRAY($R$36), _xlfn._xlws.FILTER(Hierarchy[[Offer]:[Offer]], Hierarchy[[Domain]:[Domain]]=AD$36), 0)), 0))</f>
        <v>0</v>
      </c>
      <c r="AE45" s="194" cm="1">
        <f t="array" aca="1" ref="AE45" ca="1">SUM(_xlfn._xlws.FILTER($R45:$AC45, ISNUMBER(MATCH(_xlfn.ANCHORARRAY($R$36), _xlfn._xlws.FILTER(Hierarchy[[Offer]:[Offer]], Hierarchy[[Domain]:[Domain]]=AE$36), 0)), 0))</f>
        <v>0</v>
      </c>
      <c r="AF45" s="194" cm="1">
        <f t="array" aca="1" ref="AF45" ca="1">SUM(_xlfn._xlws.FILTER($R45:$AC45, ISNUMBER(MATCH(_xlfn.ANCHORARRAY($R$36), _xlfn._xlws.FILTER(Hierarchy[[Offer]:[Offer]], Hierarchy[[Domain]:[Domain]]=AF$36), 0)), 0))</f>
        <v>0</v>
      </c>
      <c r="AG45" s="194" cm="1">
        <f t="array" aca="1" ref="AG45" ca="1">SUM(_xlfn._xlws.FILTER($R45:$AC45, ISNUMBER(MATCH(_xlfn.ANCHORARRAY($R$36), _xlfn._xlws.FILTER(Hierarchy[[Offer]:[Offer]], Hierarchy[[Domain]:[Domain]]=AG$36), 0)), 0))</f>
        <v>0</v>
      </c>
    </row>
    <row r="46" spans="4:36" x14ac:dyDescent="0.4">
      <c r="D46" t="s">
        <v>186</v>
      </c>
      <c r="E46" s="62">
        <v>46467</v>
      </c>
      <c r="F46" s="62">
        <v>46501</v>
      </c>
      <c r="G46">
        <v>45</v>
      </c>
      <c r="Q46" s="192">
        <f ca="1"/>
        <v>45870</v>
      </c>
      <c r="R46" s="193" cm="1">
        <f t="array" aca="1" ref="R46" ca="1">SUMPRODUCT(
  (Data[Track]=R$36)*
  (Data[Adopt Rebate Opt-In Status]="Opted In")*
  ((Data[Stage]="Eligible") + (Data[Stage]="Expired"))*
  (Data[Adopt Rebate Start Date]&gt;=$Q46)*
  (Data[Adopt Rebate Start Date]&lt; EDATE($Q46,1))
)</f>
        <v>0</v>
      </c>
      <c r="S46" s="193" cm="1">
        <f t="array" aca="1" ref="S46" ca="1">SUMPRODUCT(
  (Data[Track]=S$36)*
  (Data[Adopt Rebate Opt-In Status]="Opted In")*
  ((Data[Stage]="Eligible") + (Data[Stage]="Expired"))*
  (Data[Adopt Rebate Start Date]&gt;=$Q46)*
  (Data[Adopt Rebate Start Date]&lt; EDATE($Q46,1))
)</f>
        <v>0</v>
      </c>
      <c r="T46" s="193" cm="1">
        <f t="array" aca="1" ref="T46" ca="1">SUMPRODUCT(
  (Data[Track]=T$36)*
  (Data[Adopt Rebate Opt-In Status]="Opted In")*
  ((Data[Stage]="Eligible") + (Data[Stage]="Expired"))*
  (Data[Adopt Rebate Start Date]&gt;=$Q46)*
  (Data[Adopt Rebate Start Date]&lt; EDATE($Q46,1))
)</f>
        <v>0</v>
      </c>
      <c r="U46" s="193" cm="1">
        <f t="array" aca="1" ref="U46" ca="1">SUMPRODUCT(
  (Data[Track]=U$36)*
  (Data[Adopt Rebate Opt-In Status]="Opted In")*
  ((Data[Stage]="Eligible") + (Data[Stage]="Expired"))*
  (Data[Adopt Rebate Start Date]&gt;=$Q46)*
  (Data[Adopt Rebate Start Date]&lt; EDATE($Q46,1))
)</f>
        <v>0</v>
      </c>
      <c r="V46" s="193" cm="1">
        <f t="array" aca="1" ref="V46" ca="1">SUMPRODUCT(
  (Data[Track]=V$36)*
  (Data[Adopt Rebate Opt-In Status]="Opted In")*
  ((Data[Stage]="Eligible") + (Data[Stage]="Expired"))*
  (Data[Adopt Rebate Start Date]&gt;=$Q46)*
  (Data[Adopt Rebate Start Date]&lt; EDATE($Q46,1))
)</f>
        <v>0</v>
      </c>
      <c r="W46" s="193" cm="1">
        <f t="array" aca="1" ref="W46" ca="1">SUMPRODUCT(
  (Data[Track]=W$36)*
  (Data[Adopt Rebate Opt-In Status]="Opted In")*
  ((Data[Stage]="Eligible") + (Data[Stage]="Expired"))*
  (Data[Adopt Rebate Start Date]&gt;=$Q46)*
  (Data[Adopt Rebate Start Date]&lt; EDATE($Q46,1))
)</f>
        <v>0</v>
      </c>
      <c r="X46" s="193" cm="1">
        <f t="array" aca="1" ref="X46" ca="1">SUMPRODUCT(
  (Data[Track]=X$36)*
  (Data[Adopt Rebate Opt-In Status]="Opted In")*
  ((Data[Stage]="Eligible") + (Data[Stage]="Expired"))*
  (Data[Adopt Rebate Start Date]&gt;=$Q46)*
  (Data[Adopt Rebate Start Date]&lt; EDATE($Q46,1))
)</f>
        <v>0</v>
      </c>
      <c r="Y46" s="193" cm="1">
        <f t="array" aca="1" ref="Y46" ca="1">SUMPRODUCT(
  (Data[Track]=Y$36)*
  (Data[Adopt Rebate Opt-In Status]="Opted In")*
  ((Data[Stage]="Eligible") + (Data[Stage]="Expired"))*
  (Data[Adopt Rebate Start Date]&gt;=$Q46)*
  (Data[Adopt Rebate Start Date]&lt; EDATE($Q46,1))
)</f>
        <v>0</v>
      </c>
      <c r="Z46" s="193" cm="1">
        <f t="array" aca="1" ref="Z46" ca="1">SUMPRODUCT(
  (Data[Track]=Z$36)*
  (Data[Adopt Rebate Opt-In Status]="Opted In")*
  ((Data[Stage]="Eligible") + (Data[Stage]="Expired"))*
  (Data[Adopt Rebate Start Date]&gt;=$Q46)*
  (Data[Adopt Rebate Start Date]&lt; EDATE($Q46,1))
)</f>
        <v>0</v>
      </c>
      <c r="AA46" s="193" cm="1">
        <f t="array" aca="1" ref="AA46" ca="1">SUMPRODUCT(
  (Data[Track]=AA$36)*
  (Data[Adopt Rebate Opt-In Status]="Opted In")*
  ((Data[Stage]="Eligible") + (Data[Stage]="Expired"))*
  (Data[Adopt Rebate Start Date]&gt;=$Q46)*
  (Data[Adopt Rebate Start Date]&lt; EDATE($Q46,1))
)</f>
        <v>0</v>
      </c>
      <c r="AB46" s="193" cm="1">
        <f t="array" aca="1" ref="AB46" ca="1">SUMPRODUCT(
  (Data[Track]=AB$36)*
  (Data[Adopt Rebate Opt-In Status]="Opted In")*
  ((Data[Stage]="Eligible") + (Data[Stage]="Expired"))*
  (Data[Adopt Rebate Start Date]&gt;=$Q46)*
  (Data[Adopt Rebate Start Date]&lt; EDATE($Q46,1))
)</f>
        <v>0</v>
      </c>
      <c r="AC46" s="193" cm="1">
        <f t="array" aca="1" ref="AC46" ca="1">SUMPRODUCT(
  (Data[Track]=AC$36)*
  (Data[Adopt Rebate Opt-In Status]="Opted In")*
  ((Data[Stage]="Eligible") + (Data[Stage]="Expired"))*
  (Data[Adopt Rebate Start Date]&gt;=$Q46)*
  (Data[Adopt Rebate Start Date]&lt; EDATE($Q46,1))
)</f>
        <v>0</v>
      </c>
      <c r="AD46" s="194" cm="1">
        <f t="array" aca="1" ref="AD46" ca="1">SUM(_xlfn._xlws.FILTER($R46:$AC46, ISNUMBER(MATCH(_xlfn.ANCHORARRAY($R$36), _xlfn._xlws.FILTER(Hierarchy[[Offer]:[Offer]], Hierarchy[[Domain]:[Domain]]=AD$36), 0)), 0))</f>
        <v>0</v>
      </c>
      <c r="AE46" s="194" cm="1">
        <f t="array" aca="1" ref="AE46" ca="1">SUM(_xlfn._xlws.FILTER($R46:$AC46, ISNUMBER(MATCH(_xlfn.ANCHORARRAY($R$36), _xlfn._xlws.FILTER(Hierarchy[[Offer]:[Offer]], Hierarchy[[Domain]:[Domain]]=AE$36), 0)), 0))</f>
        <v>0</v>
      </c>
      <c r="AF46" s="194" cm="1">
        <f t="array" aca="1" ref="AF46" ca="1">SUM(_xlfn._xlws.FILTER($R46:$AC46, ISNUMBER(MATCH(_xlfn.ANCHORARRAY($R$36), _xlfn._xlws.FILTER(Hierarchy[[Offer]:[Offer]], Hierarchy[[Domain]:[Domain]]=AF$36), 0)), 0))</f>
        <v>0</v>
      </c>
      <c r="AG46" s="194" cm="1">
        <f t="array" aca="1" ref="AG46" ca="1">SUM(_xlfn._xlws.FILTER($R46:$AC46, ISNUMBER(MATCH(_xlfn.ANCHORARRAY($R$36), _xlfn._xlws.FILTER(Hierarchy[[Offer]:[Offer]], Hierarchy[[Domain]:[Domain]]=AG$36), 0)), 0))</f>
        <v>0</v>
      </c>
    </row>
    <row r="47" spans="4:36" x14ac:dyDescent="0.4">
      <c r="D47" t="s">
        <v>187</v>
      </c>
      <c r="E47" s="62">
        <v>46502</v>
      </c>
      <c r="F47" s="62">
        <v>46529</v>
      </c>
      <c r="G47">
        <v>46</v>
      </c>
      <c r="Q47" s="192">
        <f ca="1"/>
        <v>45839</v>
      </c>
      <c r="R47" s="193" cm="1">
        <f t="array" aca="1" ref="R47" ca="1">SUMPRODUCT(
  (Data[Track]=R$36)*
  (Data[Adopt Rebate Opt-In Status]="Opted In")*
  ((Data[Stage]="Eligible") + (Data[Stage]="Expired"))*
  (Data[Adopt Rebate Start Date]&gt;=$Q47)*
  (Data[Adopt Rebate Start Date]&lt; EDATE($Q47,1))
)</f>
        <v>0</v>
      </c>
      <c r="S47" s="193" cm="1">
        <f t="array" aca="1" ref="S47" ca="1">SUMPRODUCT(
  (Data[Track]=S$36)*
  (Data[Adopt Rebate Opt-In Status]="Opted In")*
  ((Data[Stage]="Eligible") + (Data[Stage]="Expired"))*
  (Data[Adopt Rebate Start Date]&gt;=$Q47)*
  (Data[Adopt Rebate Start Date]&lt; EDATE($Q47,1))
)</f>
        <v>0</v>
      </c>
      <c r="T47" s="193" cm="1">
        <f t="array" aca="1" ref="T47" ca="1">SUMPRODUCT(
  (Data[Track]=T$36)*
  (Data[Adopt Rebate Opt-In Status]="Opted In")*
  ((Data[Stage]="Eligible") + (Data[Stage]="Expired"))*
  (Data[Adopt Rebate Start Date]&gt;=$Q47)*
  (Data[Adopt Rebate Start Date]&lt; EDATE($Q47,1))
)</f>
        <v>0</v>
      </c>
      <c r="U47" s="193" cm="1">
        <f t="array" aca="1" ref="U47" ca="1">SUMPRODUCT(
  (Data[Track]=U$36)*
  (Data[Adopt Rebate Opt-In Status]="Opted In")*
  ((Data[Stage]="Eligible") + (Data[Stage]="Expired"))*
  (Data[Adopt Rebate Start Date]&gt;=$Q47)*
  (Data[Adopt Rebate Start Date]&lt; EDATE($Q47,1))
)</f>
        <v>0</v>
      </c>
      <c r="V47" s="193" cm="1">
        <f t="array" aca="1" ref="V47" ca="1">SUMPRODUCT(
  (Data[Track]=V$36)*
  (Data[Adopt Rebate Opt-In Status]="Opted In")*
  ((Data[Stage]="Eligible") + (Data[Stage]="Expired"))*
  (Data[Adopt Rebate Start Date]&gt;=$Q47)*
  (Data[Adopt Rebate Start Date]&lt; EDATE($Q47,1))
)</f>
        <v>0</v>
      </c>
      <c r="W47" s="193" cm="1">
        <f t="array" aca="1" ref="W47" ca="1">SUMPRODUCT(
  (Data[Track]=W$36)*
  (Data[Adopt Rebate Opt-In Status]="Opted In")*
  ((Data[Stage]="Eligible") + (Data[Stage]="Expired"))*
  (Data[Adopt Rebate Start Date]&gt;=$Q47)*
  (Data[Adopt Rebate Start Date]&lt; EDATE($Q47,1))
)</f>
        <v>0</v>
      </c>
      <c r="X47" s="193" cm="1">
        <f t="array" aca="1" ref="X47" ca="1">SUMPRODUCT(
  (Data[Track]=X$36)*
  (Data[Adopt Rebate Opt-In Status]="Opted In")*
  ((Data[Stage]="Eligible") + (Data[Stage]="Expired"))*
  (Data[Adopt Rebate Start Date]&gt;=$Q47)*
  (Data[Adopt Rebate Start Date]&lt; EDATE($Q47,1))
)</f>
        <v>0</v>
      </c>
      <c r="Y47" s="193" cm="1">
        <f t="array" aca="1" ref="Y47" ca="1">SUMPRODUCT(
  (Data[Track]=Y$36)*
  (Data[Adopt Rebate Opt-In Status]="Opted In")*
  ((Data[Stage]="Eligible") + (Data[Stage]="Expired"))*
  (Data[Adopt Rebate Start Date]&gt;=$Q47)*
  (Data[Adopt Rebate Start Date]&lt; EDATE($Q47,1))
)</f>
        <v>0</v>
      </c>
      <c r="Z47" s="193" cm="1">
        <f t="array" aca="1" ref="Z47" ca="1">SUMPRODUCT(
  (Data[Track]=Z$36)*
  (Data[Adopt Rebate Opt-In Status]="Opted In")*
  ((Data[Stage]="Eligible") + (Data[Stage]="Expired"))*
  (Data[Adopt Rebate Start Date]&gt;=$Q47)*
  (Data[Adopt Rebate Start Date]&lt; EDATE($Q47,1))
)</f>
        <v>0</v>
      </c>
      <c r="AA47" s="193" cm="1">
        <f t="array" aca="1" ref="AA47" ca="1">SUMPRODUCT(
  (Data[Track]=AA$36)*
  (Data[Adopt Rebate Opt-In Status]="Opted In")*
  ((Data[Stage]="Eligible") + (Data[Stage]="Expired"))*
  (Data[Adopt Rebate Start Date]&gt;=$Q47)*
  (Data[Adopt Rebate Start Date]&lt; EDATE($Q47,1))
)</f>
        <v>0</v>
      </c>
      <c r="AB47" s="193" cm="1">
        <f t="array" aca="1" ref="AB47" ca="1">SUMPRODUCT(
  (Data[Track]=AB$36)*
  (Data[Adopt Rebate Opt-In Status]="Opted In")*
  ((Data[Stage]="Eligible") + (Data[Stage]="Expired"))*
  (Data[Adopt Rebate Start Date]&gt;=$Q47)*
  (Data[Adopt Rebate Start Date]&lt; EDATE($Q47,1))
)</f>
        <v>0</v>
      </c>
      <c r="AC47" s="193" cm="1">
        <f t="array" aca="1" ref="AC47" ca="1">SUMPRODUCT(
  (Data[Track]=AC$36)*
  (Data[Adopt Rebate Opt-In Status]="Opted In")*
  ((Data[Stage]="Eligible") + (Data[Stage]="Expired"))*
  (Data[Adopt Rebate Start Date]&gt;=$Q47)*
  (Data[Adopt Rebate Start Date]&lt; EDATE($Q47,1))
)</f>
        <v>0</v>
      </c>
      <c r="AD47" s="194" cm="1">
        <f t="array" aca="1" ref="AD47" ca="1">SUM(_xlfn._xlws.FILTER($R47:$AC47, ISNUMBER(MATCH(_xlfn.ANCHORARRAY($R$36), _xlfn._xlws.FILTER(Hierarchy[[Offer]:[Offer]], Hierarchy[[Domain]:[Domain]]=AD$36), 0)), 0))</f>
        <v>0</v>
      </c>
      <c r="AE47" s="194" cm="1">
        <f t="array" aca="1" ref="AE47" ca="1">SUM(_xlfn._xlws.FILTER($R47:$AC47, ISNUMBER(MATCH(_xlfn.ANCHORARRAY($R$36), _xlfn._xlws.FILTER(Hierarchy[[Offer]:[Offer]], Hierarchy[[Domain]:[Domain]]=AE$36), 0)), 0))</f>
        <v>0</v>
      </c>
      <c r="AF47" s="194" cm="1">
        <f t="array" aca="1" ref="AF47" ca="1">SUM(_xlfn._xlws.FILTER($R47:$AC47, ISNUMBER(MATCH(_xlfn.ANCHORARRAY($R$36), _xlfn._xlws.FILTER(Hierarchy[[Offer]:[Offer]], Hierarchy[[Domain]:[Domain]]=AF$36), 0)), 0))</f>
        <v>0</v>
      </c>
      <c r="AG47" s="194" cm="1">
        <f t="array" aca="1" ref="AG47" ca="1">SUM(_xlfn._xlws.FILTER($R47:$AC47, ISNUMBER(MATCH(_xlfn.ANCHORARRAY($R$36), _xlfn._xlws.FILTER(Hierarchy[[Offer]:[Offer]], Hierarchy[[Domain]:[Domain]]=AG$36), 0)), 0))</f>
        <v>0</v>
      </c>
    </row>
    <row r="48" spans="4:36" x14ac:dyDescent="0.4">
      <c r="D48" t="s">
        <v>188</v>
      </c>
      <c r="E48" s="62">
        <v>46530</v>
      </c>
      <c r="F48" s="62">
        <v>46557</v>
      </c>
      <c r="G48">
        <v>47</v>
      </c>
      <c r="Q48" s="192">
        <f ca="1"/>
        <v>45809</v>
      </c>
      <c r="R48" s="193" cm="1">
        <f t="array" aca="1" ref="R48" ca="1">SUMPRODUCT(
  (Data[Track]=R$36)*
  (Data[Adopt Rebate Opt-In Status]="Opted In")*
  ((Data[Stage]="Eligible") + (Data[Stage]="Expired"))*
  (Data[Adopt Rebate Start Date]&gt;=$Q48)*
  (Data[Adopt Rebate Start Date]&lt; EDATE($Q48,1))
)</f>
        <v>0</v>
      </c>
      <c r="S48" s="193" cm="1">
        <f t="array" aca="1" ref="S48" ca="1">SUMPRODUCT(
  (Data[Track]=S$36)*
  (Data[Adopt Rebate Opt-In Status]="Opted In")*
  ((Data[Stage]="Eligible") + (Data[Stage]="Expired"))*
  (Data[Adopt Rebate Start Date]&gt;=$Q48)*
  (Data[Adopt Rebate Start Date]&lt; EDATE($Q48,1))
)</f>
        <v>0</v>
      </c>
      <c r="T48" s="193" cm="1">
        <f t="array" aca="1" ref="T48" ca="1">SUMPRODUCT(
  (Data[Track]=T$36)*
  (Data[Adopt Rebate Opt-In Status]="Opted In")*
  ((Data[Stage]="Eligible") + (Data[Stage]="Expired"))*
  (Data[Adopt Rebate Start Date]&gt;=$Q48)*
  (Data[Adopt Rebate Start Date]&lt; EDATE($Q48,1))
)</f>
        <v>0</v>
      </c>
      <c r="U48" s="193" cm="1">
        <f t="array" aca="1" ref="U48" ca="1">SUMPRODUCT(
  (Data[Track]=U$36)*
  (Data[Adopt Rebate Opt-In Status]="Opted In")*
  ((Data[Stage]="Eligible") + (Data[Stage]="Expired"))*
  (Data[Adopt Rebate Start Date]&gt;=$Q48)*
  (Data[Adopt Rebate Start Date]&lt; EDATE($Q48,1))
)</f>
        <v>0</v>
      </c>
      <c r="V48" s="193" cm="1">
        <f t="array" aca="1" ref="V48" ca="1">SUMPRODUCT(
  (Data[Track]=V$36)*
  (Data[Adopt Rebate Opt-In Status]="Opted In")*
  ((Data[Stage]="Eligible") + (Data[Stage]="Expired"))*
  (Data[Adopt Rebate Start Date]&gt;=$Q48)*
  (Data[Adopt Rebate Start Date]&lt; EDATE($Q48,1))
)</f>
        <v>0</v>
      </c>
      <c r="W48" s="193" cm="1">
        <f t="array" aca="1" ref="W48" ca="1">SUMPRODUCT(
  (Data[Track]=W$36)*
  (Data[Adopt Rebate Opt-In Status]="Opted In")*
  ((Data[Stage]="Eligible") + (Data[Stage]="Expired"))*
  (Data[Adopt Rebate Start Date]&gt;=$Q48)*
  (Data[Adopt Rebate Start Date]&lt; EDATE($Q48,1))
)</f>
        <v>0</v>
      </c>
      <c r="X48" s="193" cm="1">
        <f t="array" aca="1" ref="X48" ca="1">SUMPRODUCT(
  (Data[Track]=X$36)*
  (Data[Adopt Rebate Opt-In Status]="Opted In")*
  ((Data[Stage]="Eligible") + (Data[Stage]="Expired"))*
  (Data[Adopt Rebate Start Date]&gt;=$Q48)*
  (Data[Adopt Rebate Start Date]&lt; EDATE($Q48,1))
)</f>
        <v>0</v>
      </c>
      <c r="Y48" s="193" cm="1">
        <f t="array" aca="1" ref="Y48" ca="1">SUMPRODUCT(
  (Data[Track]=Y$36)*
  (Data[Adopt Rebate Opt-In Status]="Opted In")*
  ((Data[Stage]="Eligible") + (Data[Stage]="Expired"))*
  (Data[Adopt Rebate Start Date]&gt;=$Q48)*
  (Data[Adopt Rebate Start Date]&lt; EDATE($Q48,1))
)</f>
        <v>0</v>
      </c>
      <c r="Z48" s="193" cm="1">
        <f t="array" aca="1" ref="Z48" ca="1">SUMPRODUCT(
  (Data[Track]=Z$36)*
  (Data[Adopt Rebate Opt-In Status]="Opted In")*
  ((Data[Stage]="Eligible") + (Data[Stage]="Expired"))*
  (Data[Adopt Rebate Start Date]&gt;=$Q48)*
  (Data[Adopt Rebate Start Date]&lt; EDATE($Q48,1))
)</f>
        <v>0</v>
      </c>
      <c r="AA48" s="193" cm="1">
        <f t="array" aca="1" ref="AA48" ca="1">SUMPRODUCT(
  (Data[Track]=AA$36)*
  (Data[Adopt Rebate Opt-In Status]="Opted In")*
  ((Data[Stage]="Eligible") + (Data[Stage]="Expired"))*
  (Data[Adopt Rebate Start Date]&gt;=$Q48)*
  (Data[Adopt Rebate Start Date]&lt; EDATE($Q48,1))
)</f>
        <v>0</v>
      </c>
      <c r="AB48" s="193" cm="1">
        <f t="array" aca="1" ref="AB48" ca="1">SUMPRODUCT(
  (Data[Track]=AB$36)*
  (Data[Adopt Rebate Opt-In Status]="Opted In")*
  ((Data[Stage]="Eligible") + (Data[Stage]="Expired"))*
  (Data[Adopt Rebate Start Date]&gt;=$Q48)*
  (Data[Adopt Rebate Start Date]&lt; EDATE($Q48,1))
)</f>
        <v>0</v>
      </c>
      <c r="AC48" s="193" cm="1">
        <f t="array" aca="1" ref="AC48" ca="1">SUMPRODUCT(
  (Data[Track]=AC$36)*
  (Data[Adopt Rebate Opt-In Status]="Opted In")*
  ((Data[Stage]="Eligible") + (Data[Stage]="Expired"))*
  (Data[Adopt Rebate Start Date]&gt;=$Q48)*
  (Data[Adopt Rebate Start Date]&lt; EDATE($Q48,1))
)</f>
        <v>0</v>
      </c>
      <c r="AD48" s="194" cm="1">
        <f t="array" aca="1" ref="AD48" ca="1">SUM(_xlfn._xlws.FILTER($R48:$AC48, ISNUMBER(MATCH(_xlfn.ANCHORARRAY($R$36), _xlfn._xlws.FILTER(Hierarchy[[Offer]:[Offer]], Hierarchy[[Domain]:[Domain]]=AD$36), 0)), 0))</f>
        <v>0</v>
      </c>
      <c r="AE48" s="194" cm="1">
        <f t="array" aca="1" ref="AE48" ca="1">SUM(_xlfn._xlws.FILTER($R48:$AC48, ISNUMBER(MATCH(_xlfn.ANCHORARRAY($R$36), _xlfn._xlws.FILTER(Hierarchy[[Offer]:[Offer]], Hierarchy[[Domain]:[Domain]]=AE$36), 0)), 0))</f>
        <v>0</v>
      </c>
      <c r="AF48" s="194" cm="1">
        <f t="array" aca="1" ref="AF48" ca="1">SUM(_xlfn._xlws.FILTER($R48:$AC48, ISNUMBER(MATCH(_xlfn.ANCHORARRAY($R$36), _xlfn._xlws.FILTER(Hierarchy[[Offer]:[Offer]], Hierarchy[[Domain]:[Domain]]=AF$36), 0)), 0))</f>
        <v>0</v>
      </c>
      <c r="AG48" s="194" cm="1">
        <f t="array" aca="1" ref="AG48" ca="1">SUM(_xlfn._xlws.FILTER($R48:$AC48, ISNUMBER(MATCH(_xlfn.ANCHORARRAY($R$36), _xlfn._xlws.FILTER(Hierarchy[[Offer]:[Offer]], Hierarchy[[Domain]:[Domain]]=AG$36), 0)), 0))</f>
        <v>0</v>
      </c>
    </row>
    <row r="49" spans="4:33" x14ac:dyDescent="0.4">
      <c r="D49" t="s">
        <v>189</v>
      </c>
      <c r="E49" s="62">
        <v>46558</v>
      </c>
      <c r="F49" s="62">
        <v>46599</v>
      </c>
      <c r="G49">
        <v>48</v>
      </c>
      <c r="P49" s="9" t="s">
        <v>392</v>
      </c>
      <c r="Q49" s="192" cm="1">
        <f t="array" aca="1" ref="Q49:Q60" ca="1">EDATE(EOMONTH(TODAY(),-1)+1, -_xlfn.SEQUENCE(12, 1, 0, 1))</f>
        <v>46143</v>
      </c>
      <c r="R49" s="52" cm="1">
        <f t="array" aca="1" ref="R49" ca="1">SUMPRODUCT(
  (Data[Track]=R$36)*
  (Data[Earned?]=TRUE)*
  (Data[Stage Completion Date(onboard)]&gt;=$Q49)*
  (Data[Stage Completion Date(onboard)]&lt;EDATE($Q49,1))*
  Data[Estimated Incentive Amount(Onboard)]
)+SUMPRODUCT(
  (Data[Track]=R$36)*
  (Data[Earned?]=TRUE)*
  (Data[Stage Completion Date(Use)]&gt;=$Q49)*
  (Data[Stage Completion Date(Use)]&lt;EDATE($Q49,1))*
  Data[Estimated Incentive Amount(Use)]
)+SUMPRODUCT(
  (Data[Track]=R$36)*
  (Data[Earned?]=TRUE)*
  (Data[Stage Completion Date(Engage)]&gt;=$Q49)*
  (Data[Stage Completion Date(Engage)]&lt;EDATE($Q49,1))*
  Data[Estimated Incentive Amount(Engage)]
)+SUMPRODUCT(
  (Data[Track]=R$36)*
  (Data[Earned?]=TRUE)*
  (Data[Stage Completion Date(Adopt)]&gt;=$Q49)*
  (Data[Stage Completion Date(Adopt)]&lt;EDATE($Q49,1))*
  Data[Estimated Incentive Amount(Adopt)]
)</f>
        <v>0</v>
      </c>
      <c r="S49" s="52" cm="1">
        <f t="array" aca="1" ref="S49" ca="1">SUMPRODUCT(
  (Data[Track]=S$36)*
  (Data[Earned?]=TRUE)*
  (Data[Stage Completion Date(onboard)]&gt;=$Q49)*
  (Data[Stage Completion Date(onboard)]&lt;EDATE($Q49,1))*
  Data[Estimated Incentive Amount(Onboard)]
)+SUMPRODUCT(
  (Data[Track]=S$36)*
  (Data[Earned?]=TRUE)*
  (Data[Stage Completion Date(Use)]&gt;=$Q49)*
  (Data[Stage Completion Date(Use)]&lt;EDATE($Q49,1))*
  Data[Estimated Incentive Amount(Use)]
)+SUMPRODUCT(
  (Data[Track]=S$36)*
  (Data[Earned?]=TRUE)*
  (Data[Stage Completion Date(Engage)]&gt;=$Q49)*
  (Data[Stage Completion Date(Engage)]&lt;EDATE($Q49,1))*
  Data[Estimated Incentive Amount(Engage)]
)+SUMPRODUCT(
  (Data[Track]=S$36)*
  (Data[Earned?]=TRUE)*
  (Data[Stage Completion Date(Adopt)]&gt;=$Q49)*
  (Data[Stage Completion Date(Adopt)]&lt;EDATE($Q49,1))*
  Data[Estimated Incentive Amount(Adopt)]
)</f>
        <v>0</v>
      </c>
      <c r="T49" s="52" cm="1">
        <f t="array" aca="1" ref="T49" ca="1">SUMPRODUCT(
  (Data[Track]=T$36)*
  (Data[Earned?]=TRUE)*
  (Data[Stage Completion Date(onboard)]&gt;=$Q49)*
  (Data[Stage Completion Date(onboard)]&lt;EDATE($Q49,1))*
  Data[Estimated Incentive Amount(Onboard)]
)+SUMPRODUCT(
  (Data[Track]=T$36)*
  (Data[Earned?]=TRUE)*
  (Data[Stage Completion Date(Use)]&gt;=$Q49)*
  (Data[Stage Completion Date(Use)]&lt;EDATE($Q49,1))*
  Data[Estimated Incentive Amount(Use)]
)+SUMPRODUCT(
  (Data[Track]=T$36)*
  (Data[Earned?]=TRUE)*
  (Data[Stage Completion Date(Engage)]&gt;=$Q49)*
  (Data[Stage Completion Date(Engage)]&lt;EDATE($Q49,1))*
  Data[Estimated Incentive Amount(Engage)]
)+SUMPRODUCT(
  (Data[Track]=T$36)*
  (Data[Earned?]=TRUE)*
  (Data[Stage Completion Date(Adopt)]&gt;=$Q49)*
  (Data[Stage Completion Date(Adopt)]&lt;EDATE($Q49,1))*
  Data[Estimated Incentive Amount(Adopt)]
)</f>
        <v>0</v>
      </c>
      <c r="U49" s="52" cm="1">
        <f t="array" aca="1" ref="U49" ca="1">SUMPRODUCT(
  (Data[Track]=U$36)*
  (Data[Earned?]=TRUE)*
  (Data[Stage Completion Date(onboard)]&gt;=$Q49)*
  (Data[Stage Completion Date(onboard)]&lt;EDATE($Q49,1))*
  Data[Estimated Incentive Amount(Onboard)]
)+SUMPRODUCT(
  (Data[Track]=U$36)*
  (Data[Earned?]=TRUE)*
  (Data[Stage Completion Date(Use)]&gt;=$Q49)*
  (Data[Stage Completion Date(Use)]&lt;EDATE($Q49,1))*
  Data[Estimated Incentive Amount(Use)]
)+SUMPRODUCT(
  (Data[Track]=U$36)*
  (Data[Earned?]=TRUE)*
  (Data[Stage Completion Date(Engage)]&gt;=$Q49)*
  (Data[Stage Completion Date(Engage)]&lt;EDATE($Q49,1))*
  Data[Estimated Incentive Amount(Engage)]
)+SUMPRODUCT(
  (Data[Track]=U$36)*
  (Data[Earned?]=TRUE)*
  (Data[Stage Completion Date(Adopt)]&gt;=$Q49)*
  (Data[Stage Completion Date(Adopt)]&lt;EDATE($Q49,1))*
  Data[Estimated Incentive Amount(Adopt)]
)</f>
        <v>0</v>
      </c>
      <c r="V49" s="52" cm="1">
        <f t="array" aca="1" ref="V49" ca="1">SUMPRODUCT(
  (Data[Track]=V$36)*
  (Data[Earned?]=TRUE)*
  (Data[Stage Completion Date(onboard)]&gt;=$Q49)*
  (Data[Stage Completion Date(onboard)]&lt;EDATE($Q49,1))*
  Data[Estimated Incentive Amount(Onboard)]
)+SUMPRODUCT(
  (Data[Track]=V$36)*
  (Data[Earned?]=TRUE)*
  (Data[Stage Completion Date(Use)]&gt;=$Q49)*
  (Data[Stage Completion Date(Use)]&lt;EDATE($Q49,1))*
  Data[Estimated Incentive Amount(Use)]
)+SUMPRODUCT(
  (Data[Track]=V$36)*
  (Data[Earned?]=TRUE)*
  (Data[Stage Completion Date(Engage)]&gt;=$Q49)*
  (Data[Stage Completion Date(Engage)]&lt;EDATE($Q49,1))*
  Data[Estimated Incentive Amount(Engage)]
)+SUMPRODUCT(
  (Data[Track]=V$36)*
  (Data[Earned?]=TRUE)*
  (Data[Stage Completion Date(Adopt)]&gt;=$Q49)*
  (Data[Stage Completion Date(Adopt)]&lt;EDATE($Q49,1))*
  Data[Estimated Incentive Amount(Adopt)]
)</f>
        <v>0</v>
      </c>
      <c r="W49" s="52" cm="1">
        <f t="array" aca="1" ref="W49" ca="1">SUMPRODUCT(
  (Data[Track]=W$36)*
  (Data[Earned?]=TRUE)*
  (Data[Stage Completion Date(onboard)]&gt;=$Q49)*
  (Data[Stage Completion Date(onboard)]&lt;EDATE($Q49,1))*
  Data[Estimated Incentive Amount(Onboard)]
)+SUMPRODUCT(
  (Data[Track]=W$36)*
  (Data[Earned?]=TRUE)*
  (Data[Stage Completion Date(Use)]&gt;=$Q49)*
  (Data[Stage Completion Date(Use)]&lt;EDATE($Q49,1))*
  Data[Estimated Incentive Amount(Use)]
)+SUMPRODUCT(
  (Data[Track]=W$36)*
  (Data[Earned?]=TRUE)*
  (Data[Stage Completion Date(Engage)]&gt;=$Q49)*
  (Data[Stage Completion Date(Engage)]&lt;EDATE($Q49,1))*
  Data[Estimated Incentive Amount(Engage)]
)+SUMPRODUCT(
  (Data[Track]=W$36)*
  (Data[Earned?]=TRUE)*
  (Data[Stage Completion Date(Adopt)]&gt;=$Q49)*
  (Data[Stage Completion Date(Adopt)]&lt;EDATE($Q49,1))*
  Data[Estimated Incentive Amount(Adopt)]
)</f>
        <v>0</v>
      </c>
      <c r="X49" s="52" cm="1">
        <f t="array" aca="1" ref="X49" ca="1">SUMPRODUCT(
  (Data[Track]=X$36)*
  (Data[Earned?]=TRUE)*
  (Data[Stage Completion Date(onboard)]&gt;=$Q49)*
  (Data[Stage Completion Date(onboard)]&lt;EDATE($Q49,1))*
  Data[Estimated Incentive Amount(Onboard)]
)+SUMPRODUCT(
  (Data[Track]=X$36)*
  (Data[Earned?]=TRUE)*
  (Data[Stage Completion Date(Use)]&gt;=$Q49)*
  (Data[Stage Completion Date(Use)]&lt;EDATE($Q49,1))*
  Data[Estimated Incentive Amount(Use)]
)+SUMPRODUCT(
  (Data[Track]=X$36)*
  (Data[Earned?]=TRUE)*
  (Data[Stage Completion Date(Engage)]&gt;=$Q49)*
  (Data[Stage Completion Date(Engage)]&lt;EDATE($Q49,1))*
  Data[Estimated Incentive Amount(Engage)]
)+SUMPRODUCT(
  (Data[Track]=X$36)*
  (Data[Earned?]=TRUE)*
  (Data[Stage Completion Date(Adopt)]&gt;=$Q49)*
  (Data[Stage Completion Date(Adopt)]&lt;EDATE($Q49,1))*
  Data[Estimated Incentive Amount(Adopt)]
)</f>
        <v>0</v>
      </c>
      <c r="Y49" s="52" cm="1">
        <f t="array" aca="1" ref="Y49" ca="1">SUMPRODUCT(
  (Data[Track]=Y$36)*
  (Data[Earned?]=TRUE)*
  (Data[Stage Completion Date(onboard)]&gt;=$Q49)*
  (Data[Stage Completion Date(onboard)]&lt;EDATE($Q49,1))*
  Data[Estimated Incentive Amount(Onboard)]
)+SUMPRODUCT(
  (Data[Track]=Y$36)*
  (Data[Earned?]=TRUE)*
  (Data[Stage Completion Date(Use)]&gt;=$Q49)*
  (Data[Stage Completion Date(Use)]&lt;EDATE($Q49,1))*
  Data[Estimated Incentive Amount(Use)]
)+SUMPRODUCT(
  (Data[Track]=Y$36)*
  (Data[Earned?]=TRUE)*
  (Data[Stage Completion Date(Engage)]&gt;=$Q49)*
  (Data[Stage Completion Date(Engage)]&lt;EDATE($Q49,1))*
  Data[Estimated Incentive Amount(Engage)]
)+SUMPRODUCT(
  (Data[Track]=Y$36)*
  (Data[Earned?]=TRUE)*
  (Data[Stage Completion Date(Adopt)]&gt;=$Q49)*
  (Data[Stage Completion Date(Adopt)]&lt;EDATE($Q49,1))*
  Data[Estimated Incentive Amount(Adopt)]
)</f>
        <v>0</v>
      </c>
      <c r="Z49" s="52" cm="1">
        <f t="array" aca="1" ref="Z49" ca="1">SUMPRODUCT(
  (Data[Track]=Z$36)*
  (Data[Earned?]=TRUE)*
  (Data[Stage Completion Date(onboard)]&gt;=$Q49)*
  (Data[Stage Completion Date(onboard)]&lt;EDATE($Q49,1))*
  Data[Estimated Incentive Amount(Onboard)]
)+SUMPRODUCT(
  (Data[Track]=Z$36)*
  (Data[Earned?]=TRUE)*
  (Data[Stage Completion Date(Use)]&gt;=$Q49)*
  (Data[Stage Completion Date(Use)]&lt;EDATE($Q49,1))*
  Data[Estimated Incentive Amount(Use)]
)+SUMPRODUCT(
  (Data[Track]=Z$36)*
  (Data[Earned?]=TRUE)*
  (Data[Stage Completion Date(Engage)]&gt;=$Q49)*
  (Data[Stage Completion Date(Engage)]&lt;EDATE($Q49,1))*
  Data[Estimated Incentive Amount(Engage)]
)+SUMPRODUCT(
  (Data[Track]=Z$36)*
  (Data[Earned?]=TRUE)*
  (Data[Stage Completion Date(Adopt)]&gt;=$Q49)*
  (Data[Stage Completion Date(Adopt)]&lt;EDATE($Q49,1))*
  Data[Estimated Incentive Amount(Adopt)]
)</f>
        <v>0</v>
      </c>
      <c r="AA49" s="52" cm="1">
        <f t="array" aca="1" ref="AA49" ca="1">SUMPRODUCT(
  (Data[Track]=AA$36)*
  (Data[Earned?]=TRUE)*
  (Data[Stage Completion Date(onboard)]&gt;=$Q49)*
  (Data[Stage Completion Date(onboard)]&lt;EDATE($Q49,1))*
  Data[Estimated Incentive Amount(Onboard)]
)+SUMPRODUCT(
  (Data[Track]=AA$36)*
  (Data[Earned?]=TRUE)*
  (Data[Stage Completion Date(Use)]&gt;=$Q49)*
  (Data[Stage Completion Date(Use)]&lt;EDATE($Q49,1))*
  Data[Estimated Incentive Amount(Use)]
)+SUMPRODUCT(
  (Data[Track]=AA$36)*
  (Data[Earned?]=TRUE)*
  (Data[Stage Completion Date(Engage)]&gt;=$Q49)*
  (Data[Stage Completion Date(Engage)]&lt;EDATE($Q49,1))*
  Data[Estimated Incentive Amount(Engage)]
)+SUMPRODUCT(
  (Data[Track]=AA$36)*
  (Data[Earned?]=TRUE)*
  (Data[Stage Completion Date(Adopt)]&gt;=$Q49)*
  (Data[Stage Completion Date(Adopt)]&lt;EDATE($Q49,1))*
  Data[Estimated Incentive Amount(Adopt)]
)</f>
        <v>0</v>
      </c>
      <c r="AB49" s="52" cm="1">
        <f t="array" aca="1" ref="AB49" ca="1">SUMPRODUCT(
  (Data[Track]=AB$36)*
  (Data[Earned?]=TRUE)*
  (Data[Stage Completion Date(onboard)]&gt;=$Q49)*
  (Data[Stage Completion Date(onboard)]&lt;EDATE($Q49,1))*
  Data[Estimated Incentive Amount(Onboard)]
)+SUMPRODUCT(
  (Data[Track]=AB$36)*
  (Data[Earned?]=TRUE)*
  (Data[Stage Completion Date(Use)]&gt;=$Q49)*
  (Data[Stage Completion Date(Use)]&lt;EDATE($Q49,1))*
  Data[Estimated Incentive Amount(Use)]
)+SUMPRODUCT(
  (Data[Track]=AB$36)*
  (Data[Earned?]=TRUE)*
  (Data[Stage Completion Date(Engage)]&gt;=$Q49)*
  (Data[Stage Completion Date(Engage)]&lt;EDATE($Q49,1))*
  Data[Estimated Incentive Amount(Engage)]
)+SUMPRODUCT(
  (Data[Track]=AB$36)*
  (Data[Earned?]=TRUE)*
  (Data[Stage Completion Date(Adopt)]&gt;=$Q49)*
  (Data[Stage Completion Date(Adopt)]&lt;EDATE($Q49,1))*
  Data[Estimated Incentive Amount(Adopt)]
)</f>
        <v>0</v>
      </c>
      <c r="AC49" s="52" cm="1">
        <f t="array" aca="1" ref="AC49" ca="1">SUMPRODUCT(
  (Data[Track]=AC$36)*
  (Data[Earned?]=TRUE)*
  (Data[Stage Completion Date(onboard)]&gt;=$Q49)*
  (Data[Stage Completion Date(onboard)]&lt;EDATE($Q49,1))*
  Data[Estimated Incentive Amount(Onboard)]
)+SUMPRODUCT(
  (Data[Track]=AC$36)*
  (Data[Earned?]=TRUE)*
  (Data[Stage Completion Date(Use)]&gt;=$Q49)*
  (Data[Stage Completion Date(Use)]&lt;EDATE($Q49,1))*
  Data[Estimated Incentive Amount(Use)]
)+SUMPRODUCT(
  (Data[Track]=AC$36)*
  (Data[Earned?]=TRUE)*
  (Data[Stage Completion Date(Engage)]&gt;=$Q49)*
  (Data[Stage Completion Date(Engage)]&lt;EDATE($Q49,1))*
  Data[Estimated Incentive Amount(Engage)]
)+SUMPRODUCT(
  (Data[Track]=AC$36)*
  (Data[Earned?]=TRUE)*
  (Data[Stage Completion Date(Adopt)]&gt;=$Q49)*
  (Data[Stage Completion Date(Adopt)]&lt;EDATE($Q49,1))*
  Data[Estimated Incentive Amount(Adopt)]
)</f>
        <v>0</v>
      </c>
      <c r="AD49" s="72" cm="1">
        <f t="array" aca="1" ref="AD49" ca="1">SUM(_xlfn._xlws.FILTER($R49:$AC49, ISNUMBER(MATCH(_xlfn.ANCHORARRAY($R$36), _xlfn._xlws.FILTER(Hierarchy[[Offer]:[Offer]], Hierarchy[[Domain]:[Domain]]=AD$36), 0)), 0))</f>
        <v>0</v>
      </c>
      <c r="AE49" s="72" cm="1">
        <f t="array" aca="1" ref="AE49" ca="1">SUM(_xlfn._xlws.FILTER($R49:$AC49, ISNUMBER(MATCH(_xlfn.ANCHORARRAY($R$36), _xlfn._xlws.FILTER(Hierarchy[[Offer]:[Offer]], Hierarchy[[Domain]:[Domain]]=AE$36), 0)), 0))</f>
        <v>0</v>
      </c>
      <c r="AF49" s="72" cm="1">
        <f t="array" aca="1" ref="AF49" ca="1">SUM(_xlfn._xlws.FILTER($R49:$AC49, ISNUMBER(MATCH(_xlfn.ANCHORARRAY($R$36), _xlfn._xlws.FILTER(Hierarchy[[Offer]:[Offer]], Hierarchy[[Domain]:[Domain]]=AF$36), 0)), 0))</f>
        <v>0</v>
      </c>
      <c r="AG49" s="72" cm="1">
        <f t="array" aca="1" ref="AG49" ca="1">SUM(_xlfn._xlws.FILTER($R49:$AC49, ISNUMBER(MATCH(_xlfn.ANCHORARRAY($R$36), _xlfn._xlws.FILTER(Hierarchy[[Offer]:[Offer]], Hierarchy[[Domain]:[Domain]]=AG$36), 0)), 0))</f>
        <v>0</v>
      </c>
    </row>
    <row r="50" spans="4:33" x14ac:dyDescent="0.4">
      <c r="D50" t="s">
        <v>382</v>
      </c>
      <c r="E50" s="62">
        <v>46600</v>
      </c>
      <c r="Q50" s="192">
        <f ca="1"/>
        <v>46113</v>
      </c>
      <c r="R50" s="52" cm="1">
        <f t="array" aca="1" ref="R50" ca="1">SUMPRODUCT(
  (Data[Track]=R$36)*
  (Data[Earned?]=TRUE)*
  (Data[Stage Completion Date(onboard)]&gt;=$Q50)*
  (Data[Stage Completion Date(onboard)]&lt;EDATE($Q50,1))*
  Data[Estimated Incentive Amount(Onboard)]
)+SUMPRODUCT(
  (Data[Track]=R$36)*
  (Data[Earned?]=TRUE)*
  (Data[Stage Completion Date(Use)]&gt;=$Q50)*
  (Data[Stage Completion Date(Use)]&lt;EDATE($Q50,1))*
  Data[Estimated Incentive Amount(Use)]
)+SUMPRODUCT(
  (Data[Track]=R$36)*
  (Data[Earned?]=TRUE)*
  (Data[Stage Completion Date(Engage)]&gt;=$Q50)*
  (Data[Stage Completion Date(Engage)]&lt;EDATE($Q50,1))*
  Data[Estimated Incentive Amount(Engage)]
)+SUMPRODUCT(
  (Data[Track]=R$36)*
  (Data[Earned?]=TRUE)*
  (Data[Stage Completion Date(Adopt)]&gt;=$Q50)*
  (Data[Stage Completion Date(Adopt)]&lt;EDATE($Q50,1))*
  Data[Estimated Incentive Amount(Adopt)]
)</f>
        <v>0</v>
      </c>
      <c r="S50" s="52" cm="1">
        <f t="array" aca="1" ref="S50" ca="1">SUMPRODUCT(
  (Data[Track]=S$36)*
  (Data[Earned?]=TRUE)*
  (Data[Stage Completion Date(onboard)]&gt;=$Q50)*
  (Data[Stage Completion Date(onboard)]&lt;EDATE($Q50,1))*
  Data[Estimated Incentive Amount(Onboard)]
)+SUMPRODUCT(
  (Data[Track]=S$36)*
  (Data[Earned?]=TRUE)*
  (Data[Stage Completion Date(Use)]&gt;=$Q50)*
  (Data[Stage Completion Date(Use)]&lt;EDATE($Q50,1))*
  Data[Estimated Incentive Amount(Use)]
)+SUMPRODUCT(
  (Data[Track]=S$36)*
  (Data[Earned?]=TRUE)*
  (Data[Stage Completion Date(Engage)]&gt;=$Q50)*
  (Data[Stage Completion Date(Engage)]&lt;EDATE($Q50,1))*
  Data[Estimated Incentive Amount(Engage)]
)+SUMPRODUCT(
  (Data[Track]=S$36)*
  (Data[Earned?]=TRUE)*
  (Data[Stage Completion Date(Adopt)]&gt;=$Q50)*
  (Data[Stage Completion Date(Adopt)]&lt;EDATE($Q50,1))*
  Data[Estimated Incentive Amount(Adopt)]
)</f>
        <v>0</v>
      </c>
      <c r="T50" s="52" cm="1">
        <f t="array" aca="1" ref="T50" ca="1">SUMPRODUCT(
  (Data[Track]=T$36)*
  (Data[Earned?]=TRUE)*
  (Data[Stage Completion Date(onboard)]&gt;=$Q50)*
  (Data[Stage Completion Date(onboard)]&lt;EDATE($Q50,1))*
  Data[Estimated Incentive Amount(Onboard)]
)+SUMPRODUCT(
  (Data[Track]=T$36)*
  (Data[Earned?]=TRUE)*
  (Data[Stage Completion Date(Use)]&gt;=$Q50)*
  (Data[Stage Completion Date(Use)]&lt;EDATE($Q50,1))*
  Data[Estimated Incentive Amount(Use)]
)+SUMPRODUCT(
  (Data[Track]=T$36)*
  (Data[Earned?]=TRUE)*
  (Data[Stage Completion Date(Engage)]&gt;=$Q50)*
  (Data[Stage Completion Date(Engage)]&lt;EDATE($Q50,1))*
  Data[Estimated Incentive Amount(Engage)]
)+SUMPRODUCT(
  (Data[Track]=T$36)*
  (Data[Earned?]=TRUE)*
  (Data[Stage Completion Date(Adopt)]&gt;=$Q50)*
  (Data[Stage Completion Date(Adopt)]&lt;EDATE($Q50,1))*
  Data[Estimated Incentive Amount(Adopt)]
)</f>
        <v>0</v>
      </c>
      <c r="U50" s="52" cm="1">
        <f t="array" aca="1" ref="U50" ca="1">SUMPRODUCT(
  (Data[Track]=U$36)*
  (Data[Earned?]=TRUE)*
  (Data[Stage Completion Date(onboard)]&gt;=$Q50)*
  (Data[Stage Completion Date(onboard)]&lt;EDATE($Q50,1))*
  Data[Estimated Incentive Amount(Onboard)]
)+SUMPRODUCT(
  (Data[Track]=U$36)*
  (Data[Earned?]=TRUE)*
  (Data[Stage Completion Date(Use)]&gt;=$Q50)*
  (Data[Stage Completion Date(Use)]&lt;EDATE($Q50,1))*
  Data[Estimated Incentive Amount(Use)]
)+SUMPRODUCT(
  (Data[Track]=U$36)*
  (Data[Earned?]=TRUE)*
  (Data[Stage Completion Date(Engage)]&gt;=$Q50)*
  (Data[Stage Completion Date(Engage)]&lt;EDATE($Q50,1))*
  Data[Estimated Incentive Amount(Engage)]
)+SUMPRODUCT(
  (Data[Track]=U$36)*
  (Data[Earned?]=TRUE)*
  (Data[Stage Completion Date(Adopt)]&gt;=$Q50)*
  (Data[Stage Completion Date(Adopt)]&lt;EDATE($Q50,1))*
  Data[Estimated Incentive Amount(Adopt)]
)</f>
        <v>0</v>
      </c>
      <c r="V50" s="52" cm="1">
        <f t="array" aca="1" ref="V50" ca="1">SUMPRODUCT(
  (Data[Track]=V$36)*
  (Data[Earned?]=TRUE)*
  (Data[Stage Completion Date(onboard)]&gt;=$Q50)*
  (Data[Stage Completion Date(onboard)]&lt;EDATE($Q50,1))*
  Data[Estimated Incentive Amount(Onboard)]
)+SUMPRODUCT(
  (Data[Track]=V$36)*
  (Data[Earned?]=TRUE)*
  (Data[Stage Completion Date(Use)]&gt;=$Q50)*
  (Data[Stage Completion Date(Use)]&lt;EDATE($Q50,1))*
  Data[Estimated Incentive Amount(Use)]
)+SUMPRODUCT(
  (Data[Track]=V$36)*
  (Data[Earned?]=TRUE)*
  (Data[Stage Completion Date(Engage)]&gt;=$Q50)*
  (Data[Stage Completion Date(Engage)]&lt;EDATE($Q50,1))*
  Data[Estimated Incentive Amount(Engage)]
)+SUMPRODUCT(
  (Data[Track]=V$36)*
  (Data[Earned?]=TRUE)*
  (Data[Stage Completion Date(Adopt)]&gt;=$Q50)*
  (Data[Stage Completion Date(Adopt)]&lt;EDATE($Q50,1))*
  Data[Estimated Incentive Amount(Adopt)]
)</f>
        <v>0</v>
      </c>
      <c r="W50" s="52" cm="1">
        <f t="array" aca="1" ref="W50" ca="1">SUMPRODUCT(
  (Data[Track]=W$36)*
  (Data[Earned?]=TRUE)*
  (Data[Stage Completion Date(onboard)]&gt;=$Q50)*
  (Data[Stage Completion Date(onboard)]&lt;EDATE($Q50,1))*
  Data[Estimated Incentive Amount(Onboard)]
)+SUMPRODUCT(
  (Data[Track]=W$36)*
  (Data[Earned?]=TRUE)*
  (Data[Stage Completion Date(Use)]&gt;=$Q50)*
  (Data[Stage Completion Date(Use)]&lt;EDATE($Q50,1))*
  Data[Estimated Incentive Amount(Use)]
)+SUMPRODUCT(
  (Data[Track]=W$36)*
  (Data[Earned?]=TRUE)*
  (Data[Stage Completion Date(Engage)]&gt;=$Q50)*
  (Data[Stage Completion Date(Engage)]&lt;EDATE($Q50,1))*
  Data[Estimated Incentive Amount(Engage)]
)+SUMPRODUCT(
  (Data[Track]=W$36)*
  (Data[Earned?]=TRUE)*
  (Data[Stage Completion Date(Adopt)]&gt;=$Q50)*
  (Data[Stage Completion Date(Adopt)]&lt;EDATE($Q50,1))*
  Data[Estimated Incentive Amount(Adopt)]
)</f>
        <v>0</v>
      </c>
      <c r="X50" s="52" cm="1">
        <f t="array" aca="1" ref="X50" ca="1">SUMPRODUCT(
  (Data[Track]=X$36)*
  (Data[Earned?]=TRUE)*
  (Data[Stage Completion Date(onboard)]&gt;=$Q50)*
  (Data[Stage Completion Date(onboard)]&lt;EDATE($Q50,1))*
  Data[Estimated Incentive Amount(Onboard)]
)+SUMPRODUCT(
  (Data[Track]=X$36)*
  (Data[Earned?]=TRUE)*
  (Data[Stage Completion Date(Use)]&gt;=$Q50)*
  (Data[Stage Completion Date(Use)]&lt;EDATE($Q50,1))*
  Data[Estimated Incentive Amount(Use)]
)+SUMPRODUCT(
  (Data[Track]=X$36)*
  (Data[Earned?]=TRUE)*
  (Data[Stage Completion Date(Engage)]&gt;=$Q50)*
  (Data[Stage Completion Date(Engage)]&lt;EDATE($Q50,1))*
  Data[Estimated Incentive Amount(Engage)]
)+SUMPRODUCT(
  (Data[Track]=X$36)*
  (Data[Earned?]=TRUE)*
  (Data[Stage Completion Date(Adopt)]&gt;=$Q50)*
  (Data[Stage Completion Date(Adopt)]&lt;EDATE($Q50,1))*
  Data[Estimated Incentive Amount(Adopt)]
)</f>
        <v>0</v>
      </c>
      <c r="Y50" s="52" cm="1">
        <f t="array" aca="1" ref="Y50" ca="1">SUMPRODUCT(
  (Data[Track]=Y$36)*
  (Data[Earned?]=TRUE)*
  (Data[Stage Completion Date(onboard)]&gt;=$Q50)*
  (Data[Stage Completion Date(onboard)]&lt;EDATE($Q50,1))*
  Data[Estimated Incentive Amount(Onboard)]
)+SUMPRODUCT(
  (Data[Track]=Y$36)*
  (Data[Earned?]=TRUE)*
  (Data[Stage Completion Date(Use)]&gt;=$Q50)*
  (Data[Stage Completion Date(Use)]&lt;EDATE($Q50,1))*
  Data[Estimated Incentive Amount(Use)]
)+SUMPRODUCT(
  (Data[Track]=Y$36)*
  (Data[Earned?]=TRUE)*
  (Data[Stage Completion Date(Engage)]&gt;=$Q50)*
  (Data[Stage Completion Date(Engage)]&lt;EDATE($Q50,1))*
  Data[Estimated Incentive Amount(Engage)]
)+SUMPRODUCT(
  (Data[Track]=Y$36)*
  (Data[Earned?]=TRUE)*
  (Data[Stage Completion Date(Adopt)]&gt;=$Q50)*
  (Data[Stage Completion Date(Adopt)]&lt;EDATE($Q50,1))*
  Data[Estimated Incentive Amount(Adopt)]
)</f>
        <v>0</v>
      </c>
      <c r="Z50" s="52" cm="1">
        <f t="array" aca="1" ref="Z50" ca="1">SUMPRODUCT(
  (Data[Track]=Z$36)*
  (Data[Earned?]=TRUE)*
  (Data[Stage Completion Date(onboard)]&gt;=$Q50)*
  (Data[Stage Completion Date(onboard)]&lt;EDATE($Q50,1))*
  Data[Estimated Incentive Amount(Onboard)]
)+SUMPRODUCT(
  (Data[Track]=Z$36)*
  (Data[Earned?]=TRUE)*
  (Data[Stage Completion Date(Use)]&gt;=$Q50)*
  (Data[Stage Completion Date(Use)]&lt;EDATE($Q50,1))*
  Data[Estimated Incentive Amount(Use)]
)+SUMPRODUCT(
  (Data[Track]=Z$36)*
  (Data[Earned?]=TRUE)*
  (Data[Stage Completion Date(Engage)]&gt;=$Q50)*
  (Data[Stage Completion Date(Engage)]&lt;EDATE($Q50,1))*
  Data[Estimated Incentive Amount(Engage)]
)+SUMPRODUCT(
  (Data[Track]=Z$36)*
  (Data[Earned?]=TRUE)*
  (Data[Stage Completion Date(Adopt)]&gt;=$Q50)*
  (Data[Stage Completion Date(Adopt)]&lt;EDATE($Q50,1))*
  Data[Estimated Incentive Amount(Adopt)]
)</f>
        <v>0</v>
      </c>
      <c r="AA50" s="52" cm="1">
        <f t="array" aca="1" ref="AA50" ca="1">SUMPRODUCT(
  (Data[Track]=AA$36)*
  (Data[Earned?]=TRUE)*
  (Data[Stage Completion Date(onboard)]&gt;=$Q50)*
  (Data[Stage Completion Date(onboard)]&lt;EDATE($Q50,1))*
  Data[Estimated Incentive Amount(Onboard)]
)+SUMPRODUCT(
  (Data[Track]=AA$36)*
  (Data[Earned?]=TRUE)*
  (Data[Stage Completion Date(Use)]&gt;=$Q50)*
  (Data[Stage Completion Date(Use)]&lt;EDATE($Q50,1))*
  Data[Estimated Incentive Amount(Use)]
)+SUMPRODUCT(
  (Data[Track]=AA$36)*
  (Data[Earned?]=TRUE)*
  (Data[Stage Completion Date(Engage)]&gt;=$Q50)*
  (Data[Stage Completion Date(Engage)]&lt;EDATE($Q50,1))*
  Data[Estimated Incentive Amount(Engage)]
)+SUMPRODUCT(
  (Data[Track]=AA$36)*
  (Data[Earned?]=TRUE)*
  (Data[Stage Completion Date(Adopt)]&gt;=$Q50)*
  (Data[Stage Completion Date(Adopt)]&lt;EDATE($Q50,1))*
  Data[Estimated Incentive Amount(Adopt)]
)</f>
        <v>0</v>
      </c>
      <c r="AB50" s="52" cm="1">
        <f t="array" aca="1" ref="AB50" ca="1">SUMPRODUCT(
  (Data[Track]=AB$36)*
  (Data[Earned?]=TRUE)*
  (Data[Stage Completion Date(onboard)]&gt;=$Q50)*
  (Data[Stage Completion Date(onboard)]&lt;EDATE($Q50,1))*
  Data[Estimated Incentive Amount(Onboard)]
)+SUMPRODUCT(
  (Data[Track]=AB$36)*
  (Data[Earned?]=TRUE)*
  (Data[Stage Completion Date(Use)]&gt;=$Q50)*
  (Data[Stage Completion Date(Use)]&lt;EDATE($Q50,1))*
  Data[Estimated Incentive Amount(Use)]
)+SUMPRODUCT(
  (Data[Track]=AB$36)*
  (Data[Earned?]=TRUE)*
  (Data[Stage Completion Date(Engage)]&gt;=$Q50)*
  (Data[Stage Completion Date(Engage)]&lt;EDATE($Q50,1))*
  Data[Estimated Incentive Amount(Engage)]
)+SUMPRODUCT(
  (Data[Track]=AB$36)*
  (Data[Earned?]=TRUE)*
  (Data[Stage Completion Date(Adopt)]&gt;=$Q50)*
  (Data[Stage Completion Date(Adopt)]&lt;EDATE($Q50,1))*
  Data[Estimated Incentive Amount(Adopt)]
)</f>
        <v>0</v>
      </c>
      <c r="AC50" s="52" cm="1">
        <f t="array" aca="1" ref="AC50" ca="1">SUMPRODUCT(
  (Data[Track]=AC$36)*
  (Data[Earned?]=TRUE)*
  (Data[Stage Completion Date(onboard)]&gt;=$Q50)*
  (Data[Stage Completion Date(onboard)]&lt;EDATE($Q50,1))*
  Data[Estimated Incentive Amount(Onboard)]
)+SUMPRODUCT(
  (Data[Track]=AC$36)*
  (Data[Earned?]=TRUE)*
  (Data[Stage Completion Date(Use)]&gt;=$Q50)*
  (Data[Stage Completion Date(Use)]&lt;EDATE($Q50,1))*
  Data[Estimated Incentive Amount(Use)]
)+SUMPRODUCT(
  (Data[Track]=AC$36)*
  (Data[Earned?]=TRUE)*
  (Data[Stage Completion Date(Engage)]&gt;=$Q50)*
  (Data[Stage Completion Date(Engage)]&lt;EDATE($Q50,1))*
  Data[Estimated Incentive Amount(Engage)]
)+SUMPRODUCT(
  (Data[Track]=AC$36)*
  (Data[Earned?]=TRUE)*
  (Data[Stage Completion Date(Adopt)]&gt;=$Q50)*
  (Data[Stage Completion Date(Adopt)]&lt;EDATE($Q50,1))*
  Data[Estimated Incentive Amount(Adopt)]
)</f>
        <v>0</v>
      </c>
      <c r="AD50" s="72" cm="1">
        <f t="array" aca="1" ref="AD50" ca="1">SUM(_xlfn._xlws.FILTER($R50:$AC50, ISNUMBER(MATCH(_xlfn.ANCHORARRAY($R$36), _xlfn._xlws.FILTER(Hierarchy[[Offer]:[Offer]], Hierarchy[[Domain]:[Domain]]=AD$36), 0)), 0))</f>
        <v>0</v>
      </c>
      <c r="AE50" s="72" cm="1">
        <f t="array" aca="1" ref="AE50" ca="1">SUM(_xlfn._xlws.FILTER($R50:$AC50, ISNUMBER(MATCH(_xlfn.ANCHORARRAY($R$36), _xlfn._xlws.FILTER(Hierarchy[[Offer]:[Offer]], Hierarchy[[Domain]:[Domain]]=AE$36), 0)), 0))</f>
        <v>0</v>
      </c>
      <c r="AF50" s="72" cm="1">
        <f t="array" aca="1" ref="AF50" ca="1">SUM(_xlfn._xlws.FILTER($R50:$AC50, ISNUMBER(MATCH(_xlfn.ANCHORARRAY($R$36), _xlfn._xlws.FILTER(Hierarchy[[Offer]:[Offer]], Hierarchy[[Domain]:[Domain]]=AF$36), 0)), 0))</f>
        <v>0</v>
      </c>
      <c r="AG50" s="72" cm="1">
        <f t="array" aca="1" ref="AG50" ca="1">SUM(_xlfn._xlws.FILTER($R50:$AC50, ISNUMBER(MATCH(_xlfn.ANCHORARRAY($R$36), _xlfn._xlws.FILTER(Hierarchy[[Offer]:[Offer]], Hierarchy[[Domain]:[Domain]]=AG$36), 0)), 0))</f>
        <v>0</v>
      </c>
    </row>
    <row r="51" spans="4:33" x14ac:dyDescent="0.4">
      <c r="Q51" s="192">
        <f ca="1"/>
        <v>46082</v>
      </c>
      <c r="R51" s="52" cm="1">
        <f t="array" aca="1" ref="R51" ca="1">SUMPRODUCT(
  (Data[Track]=R$36)*
  (Data[Earned?]=TRUE)*
  (Data[Stage Completion Date(onboard)]&gt;=$Q51)*
  (Data[Stage Completion Date(onboard)]&lt;EDATE($Q51,1))*
  Data[Estimated Incentive Amount(Onboard)]
)+SUMPRODUCT(
  (Data[Track]=R$36)*
  (Data[Earned?]=TRUE)*
  (Data[Stage Completion Date(Use)]&gt;=$Q51)*
  (Data[Stage Completion Date(Use)]&lt;EDATE($Q51,1))*
  Data[Estimated Incentive Amount(Use)]
)+SUMPRODUCT(
  (Data[Track]=R$36)*
  (Data[Earned?]=TRUE)*
  (Data[Stage Completion Date(Engage)]&gt;=$Q51)*
  (Data[Stage Completion Date(Engage)]&lt;EDATE($Q51,1))*
  Data[Estimated Incentive Amount(Engage)]
)+SUMPRODUCT(
  (Data[Track]=R$36)*
  (Data[Earned?]=TRUE)*
  (Data[Stage Completion Date(Adopt)]&gt;=$Q51)*
  (Data[Stage Completion Date(Adopt)]&lt;EDATE($Q51,1))*
  Data[Estimated Incentive Amount(Adopt)]
)</f>
        <v>0</v>
      </c>
      <c r="S51" s="52" cm="1">
        <f t="array" aca="1" ref="S51" ca="1">SUMPRODUCT(
  (Data[Track]=S$36)*
  (Data[Earned?]=TRUE)*
  (Data[Stage Completion Date(onboard)]&gt;=$Q51)*
  (Data[Stage Completion Date(onboard)]&lt;EDATE($Q51,1))*
  Data[Estimated Incentive Amount(Onboard)]
)+SUMPRODUCT(
  (Data[Track]=S$36)*
  (Data[Earned?]=TRUE)*
  (Data[Stage Completion Date(Use)]&gt;=$Q51)*
  (Data[Stage Completion Date(Use)]&lt;EDATE($Q51,1))*
  Data[Estimated Incentive Amount(Use)]
)+SUMPRODUCT(
  (Data[Track]=S$36)*
  (Data[Earned?]=TRUE)*
  (Data[Stage Completion Date(Engage)]&gt;=$Q51)*
  (Data[Stage Completion Date(Engage)]&lt;EDATE($Q51,1))*
  Data[Estimated Incentive Amount(Engage)]
)+SUMPRODUCT(
  (Data[Track]=S$36)*
  (Data[Earned?]=TRUE)*
  (Data[Stage Completion Date(Adopt)]&gt;=$Q51)*
  (Data[Stage Completion Date(Adopt)]&lt;EDATE($Q51,1))*
  Data[Estimated Incentive Amount(Adopt)]
)</f>
        <v>0</v>
      </c>
      <c r="T51" s="52" cm="1">
        <f t="array" aca="1" ref="T51" ca="1">SUMPRODUCT(
  (Data[Track]=T$36)*
  (Data[Earned?]=TRUE)*
  (Data[Stage Completion Date(onboard)]&gt;=$Q51)*
  (Data[Stage Completion Date(onboard)]&lt;EDATE($Q51,1))*
  Data[Estimated Incentive Amount(Onboard)]
)+SUMPRODUCT(
  (Data[Track]=T$36)*
  (Data[Earned?]=TRUE)*
  (Data[Stage Completion Date(Use)]&gt;=$Q51)*
  (Data[Stage Completion Date(Use)]&lt;EDATE($Q51,1))*
  Data[Estimated Incentive Amount(Use)]
)+SUMPRODUCT(
  (Data[Track]=T$36)*
  (Data[Earned?]=TRUE)*
  (Data[Stage Completion Date(Engage)]&gt;=$Q51)*
  (Data[Stage Completion Date(Engage)]&lt;EDATE($Q51,1))*
  Data[Estimated Incentive Amount(Engage)]
)+SUMPRODUCT(
  (Data[Track]=T$36)*
  (Data[Earned?]=TRUE)*
  (Data[Stage Completion Date(Adopt)]&gt;=$Q51)*
  (Data[Stage Completion Date(Adopt)]&lt;EDATE($Q51,1))*
  Data[Estimated Incentive Amount(Adopt)]
)</f>
        <v>0</v>
      </c>
      <c r="U51" s="52" cm="1">
        <f t="array" aca="1" ref="U51" ca="1">SUMPRODUCT(
  (Data[Track]=U$36)*
  (Data[Earned?]=TRUE)*
  (Data[Stage Completion Date(onboard)]&gt;=$Q51)*
  (Data[Stage Completion Date(onboard)]&lt;EDATE($Q51,1))*
  Data[Estimated Incentive Amount(Onboard)]
)+SUMPRODUCT(
  (Data[Track]=U$36)*
  (Data[Earned?]=TRUE)*
  (Data[Stage Completion Date(Use)]&gt;=$Q51)*
  (Data[Stage Completion Date(Use)]&lt;EDATE($Q51,1))*
  Data[Estimated Incentive Amount(Use)]
)+SUMPRODUCT(
  (Data[Track]=U$36)*
  (Data[Earned?]=TRUE)*
  (Data[Stage Completion Date(Engage)]&gt;=$Q51)*
  (Data[Stage Completion Date(Engage)]&lt;EDATE($Q51,1))*
  Data[Estimated Incentive Amount(Engage)]
)+SUMPRODUCT(
  (Data[Track]=U$36)*
  (Data[Earned?]=TRUE)*
  (Data[Stage Completion Date(Adopt)]&gt;=$Q51)*
  (Data[Stage Completion Date(Adopt)]&lt;EDATE($Q51,1))*
  Data[Estimated Incentive Amount(Adopt)]
)</f>
        <v>0</v>
      </c>
      <c r="V51" s="52" cm="1">
        <f t="array" aca="1" ref="V51" ca="1">SUMPRODUCT(
  (Data[Track]=V$36)*
  (Data[Earned?]=TRUE)*
  (Data[Stage Completion Date(onboard)]&gt;=$Q51)*
  (Data[Stage Completion Date(onboard)]&lt;EDATE($Q51,1))*
  Data[Estimated Incentive Amount(Onboard)]
)+SUMPRODUCT(
  (Data[Track]=V$36)*
  (Data[Earned?]=TRUE)*
  (Data[Stage Completion Date(Use)]&gt;=$Q51)*
  (Data[Stage Completion Date(Use)]&lt;EDATE($Q51,1))*
  Data[Estimated Incentive Amount(Use)]
)+SUMPRODUCT(
  (Data[Track]=V$36)*
  (Data[Earned?]=TRUE)*
  (Data[Stage Completion Date(Engage)]&gt;=$Q51)*
  (Data[Stage Completion Date(Engage)]&lt;EDATE($Q51,1))*
  Data[Estimated Incentive Amount(Engage)]
)+SUMPRODUCT(
  (Data[Track]=V$36)*
  (Data[Earned?]=TRUE)*
  (Data[Stage Completion Date(Adopt)]&gt;=$Q51)*
  (Data[Stage Completion Date(Adopt)]&lt;EDATE($Q51,1))*
  Data[Estimated Incentive Amount(Adopt)]
)</f>
        <v>0</v>
      </c>
      <c r="W51" s="52" cm="1">
        <f t="array" aca="1" ref="W51" ca="1">SUMPRODUCT(
  (Data[Track]=W$36)*
  (Data[Earned?]=TRUE)*
  (Data[Stage Completion Date(onboard)]&gt;=$Q51)*
  (Data[Stage Completion Date(onboard)]&lt;EDATE($Q51,1))*
  Data[Estimated Incentive Amount(Onboard)]
)+SUMPRODUCT(
  (Data[Track]=W$36)*
  (Data[Earned?]=TRUE)*
  (Data[Stage Completion Date(Use)]&gt;=$Q51)*
  (Data[Stage Completion Date(Use)]&lt;EDATE($Q51,1))*
  Data[Estimated Incentive Amount(Use)]
)+SUMPRODUCT(
  (Data[Track]=W$36)*
  (Data[Earned?]=TRUE)*
  (Data[Stage Completion Date(Engage)]&gt;=$Q51)*
  (Data[Stage Completion Date(Engage)]&lt;EDATE($Q51,1))*
  Data[Estimated Incentive Amount(Engage)]
)+SUMPRODUCT(
  (Data[Track]=W$36)*
  (Data[Earned?]=TRUE)*
  (Data[Stage Completion Date(Adopt)]&gt;=$Q51)*
  (Data[Stage Completion Date(Adopt)]&lt;EDATE($Q51,1))*
  Data[Estimated Incentive Amount(Adopt)]
)</f>
        <v>0</v>
      </c>
      <c r="X51" s="52" cm="1">
        <f t="array" aca="1" ref="X51" ca="1">SUMPRODUCT(
  (Data[Track]=X$36)*
  (Data[Earned?]=TRUE)*
  (Data[Stage Completion Date(onboard)]&gt;=$Q51)*
  (Data[Stage Completion Date(onboard)]&lt;EDATE($Q51,1))*
  Data[Estimated Incentive Amount(Onboard)]
)+SUMPRODUCT(
  (Data[Track]=X$36)*
  (Data[Earned?]=TRUE)*
  (Data[Stage Completion Date(Use)]&gt;=$Q51)*
  (Data[Stage Completion Date(Use)]&lt;EDATE($Q51,1))*
  Data[Estimated Incentive Amount(Use)]
)+SUMPRODUCT(
  (Data[Track]=X$36)*
  (Data[Earned?]=TRUE)*
  (Data[Stage Completion Date(Engage)]&gt;=$Q51)*
  (Data[Stage Completion Date(Engage)]&lt;EDATE($Q51,1))*
  Data[Estimated Incentive Amount(Engage)]
)+SUMPRODUCT(
  (Data[Track]=X$36)*
  (Data[Earned?]=TRUE)*
  (Data[Stage Completion Date(Adopt)]&gt;=$Q51)*
  (Data[Stage Completion Date(Adopt)]&lt;EDATE($Q51,1))*
  Data[Estimated Incentive Amount(Adopt)]
)</f>
        <v>0</v>
      </c>
      <c r="Y51" s="52" cm="1">
        <f t="array" aca="1" ref="Y51" ca="1">SUMPRODUCT(
  (Data[Track]=Y$36)*
  (Data[Earned?]=TRUE)*
  (Data[Stage Completion Date(onboard)]&gt;=$Q51)*
  (Data[Stage Completion Date(onboard)]&lt;EDATE($Q51,1))*
  Data[Estimated Incentive Amount(Onboard)]
)+SUMPRODUCT(
  (Data[Track]=Y$36)*
  (Data[Earned?]=TRUE)*
  (Data[Stage Completion Date(Use)]&gt;=$Q51)*
  (Data[Stage Completion Date(Use)]&lt;EDATE($Q51,1))*
  Data[Estimated Incentive Amount(Use)]
)+SUMPRODUCT(
  (Data[Track]=Y$36)*
  (Data[Earned?]=TRUE)*
  (Data[Stage Completion Date(Engage)]&gt;=$Q51)*
  (Data[Stage Completion Date(Engage)]&lt;EDATE($Q51,1))*
  Data[Estimated Incentive Amount(Engage)]
)+SUMPRODUCT(
  (Data[Track]=Y$36)*
  (Data[Earned?]=TRUE)*
  (Data[Stage Completion Date(Adopt)]&gt;=$Q51)*
  (Data[Stage Completion Date(Adopt)]&lt;EDATE($Q51,1))*
  Data[Estimated Incentive Amount(Adopt)]
)</f>
        <v>0</v>
      </c>
      <c r="Z51" s="52" cm="1">
        <f t="array" aca="1" ref="Z51" ca="1">SUMPRODUCT(
  (Data[Track]=Z$36)*
  (Data[Earned?]=TRUE)*
  (Data[Stage Completion Date(onboard)]&gt;=$Q51)*
  (Data[Stage Completion Date(onboard)]&lt;EDATE($Q51,1))*
  Data[Estimated Incentive Amount(Onboard)]
)+SUMPRODUCT(
  (Data[Track]=Z$36)*
  (Data[Earned?]=TRUE)*
  (Data[Stage Completion Date(Use)]&gt;=$Q51)*
  (Data[Stage Completion Date(Use)]&lt;EDATE($Q51,1))*
  Data[Estimated Incentive Amount(Use)]
)+SUMPRODUCT(
  (Data[Track]=Z$36)*
  (Data[Earned?]=TRUE)*
  (Data[Stage Completion Date(Engage)]&gt;=$Q51)*
  (Data[Stage Completion Date(Engage)]&lt;EDATE($Q51,1))*
  Data[Estimated Incentive Amount(Engage)]
)+SUMPRODUCT(
  (Data[Track]=Z$36)*
  (Data[Earned?]=TRUE)*
  (Data[Stage Completion Date(Adopt)]&gt;=$Q51)*
  (Data[Stage Completion Date(Adopt)]&lt;EDATE($Q51,1))*
  Data[Estimated Incentive Amount(Adopt)]
)</f>
        <v>0</v>
      </c>
      <c r="AA51" s="52" cm="1">
        <f t="array" aca="1" ref="AA51" ca="1">SUMPRODUCT(
  (Data[Track]=AA$36)*
  (Data[Earned?]=TRUE)*
  (Data[Stage Completion Date(onboard)]&gt;=$Q51)*
  (Data[Stage Completion Date(onboard)]&lt;EDATE($Q51,1))*
  Data[Estimated Incentive Amount(Onboard)]
)+SUMPRODUCT(
  (Data[Track]=AA$36)*
  (Data[Earned?]=TRUE)*
  (Data[Stage Completion Date(Use)]&gt;=$Q51)*
  (Data[Stage Completion Date(Use)]&lt;EDATE($Q51,1))*
  Data[Estimated Incentive Amount(Use)]
)+SUMPRODUCT(
  (Data[Track]=AA$36)*
  (Data[Earned?]=TRUE)*
  (Data[Stage Completion Date(Engage)]&gt;=$Q51)*
  (Data[Stage Completion Date(Engage)]&lt;EDATE($Q51,1))*
  Data[Estimated Incentive Amount(Engage)]
)+SUMPRODUCT(
  (Data[Track]=AA$36)*
  (Data[Earned?]=TRUE)*
  (Data[Stage Completion Date(Adopt)]&gt;=$Q51)*
  (Data[Stage Completion Date(Adopt)]&lt;EDATE($Q51,1))*
  Data[Estimated Incentive Amount(Adopt)]
)</f>
        <v>0</v>
      </c>
      <c r="AB51" s="52" cm="1">
        <f t="array" aca="1" ref="AB51" ca="1">SUMPRODUCT(
  (Data[Track]=AB$36)*
  (Data[Earned?]=TRUE)*
  (Data[Stage Completion Date(onboard)]&gt;=$Q51)*
  (Data[Stage Completion Date(onboard)]&lt;EDATE($Q51,1))*
  Data[Estimated Incentive Amount(Onboard)]
)+SUMPRODUCT(
  (Data[Track]=AB$36)*
  (Data[Earned?]=TRUE)*
  (Data[Stage Completion Date(Use)]&gt;=$Q51)*
  (Data[Stage Completion Date(Use)]&lt;EDATE($Q51,1))*
  Data[Estimated Incentive Amount(Use)]
)+SUMPRODUCT(
  (Data[Track]=AB$36)*
  (Data[Earned?]=TRUE)*
  (Data[Stage Completion Date(Engage)]&gt;=$Q51)*
  (Data[Stage Completion Date(Engage)]&lt;EDATE($Q51,1))*
  Data[Estimated Incentive Amount(Engage)]
)+SUMPRODUCT(
  (Data[Track]=AB$36)*
  (Data[Earned?]=TRUE)*
  (Data[Stage Completion Date(Adopt)]&gt;=$Q51)*
  (Data[Stage Completion Date(Adopt)]&lt;EDATE($Q51,1))*
  Data[Estimated Incentive Amount(Adopt)]
)</f>
        <v>0</v>
      </c>
      <c r="AC51" s="52" cm="1">
        <f t="array" aca="1" ref="AC51" ca="1">SUMPRODUCT(
  (Data[Track]=AC$36)*
  (Data[Earned?]=TRUE)*
  (Data[Stage Completion Date(onboard)]&gt;=$Q51)*
  (Data[Stage Completion Date(onboard)]&lt;EDATE($Q51,1))*
  Data[Estimated Incentive Amount(Onboard)]
)+SUMPRODUCT(
  (Data[Track]=AC$36)*
  (Data[Earned?]=TRUE)*
  (Data[Stage Completion Date(Use)]&gt;=$Q51)*
  (Data[Stage Completion Date(Use)]&lt;EDATE($Q51,1))*
  Data[Estimated Incentive Amount(Use)]
)+SUMPRODUCT(
  (Data[Track]=AC$36)*
  (Data[Earned?]=TRUE)*
  (Data[Stage Completion Date(Engage)]&gt;=$Q51)*
  (Data[Stage Completion Date(Engage)]&lt;EDATE($Q51,1))*
  Data[Estimated Incentive Amount(Engage)]
)+SUMPRODUCT(
  (Data[Track]=AC$36)*
  (Data[Earned?]=TRUE)*
  (Data[Stage Completion Date(Adopt)]&gt;=$Q51)*
  (Data[Stage Completion Date(Adopt)]&lt;EDATE($Q51,1))*
  Data[Estimated Incentive Amount(Adopt)]
)</f>
        <v>0</v>
      </c>
      <c r="AD51" s="72" cm="1">
        <f t="array" aca="1" ref="AD51" ca="1">SUM(_xlfn._xlws.FILTER($R51:$AC51, ISNUMBER(MATCH(_xlfn.ANCHORARRAY($R$36), _xlfn._xlws.FILTER(Hierarchy[[Offer]:[Offer]], Hierarchy[[Domain]:[Domain]]=AD$36), 0)), 0))</f>
        <v>0</v>
      </c>
      <c r="AE51" s="72" cm="1">
        <f t="array" aca="1" ref="AE51" ca="1">SUM(_xlfn._xlws.FILTER($R51:$AC51, ISNUMBER(MATCH(_xlfn.ANCHORARRAY($R$36), _xlfn._xlws.FILTER(Hierarchy[[Offer]:[Offer]], Hierarchy[[Domain]:[Domain]]=AE$36), 0)), 0))</f>
        <v>0</v>
      </c>
      <c r="AF51" s="72" cm="1">
        <f t="array" aca="1" ref="AF51" ca="1">SUM(_xlfn._xlws.FILTER($R51:$AC51, ISNUMBER(MATCH(_xlfn.ANCHORARRAY($R$36), _xlfn._xlws.FILTER(Hierarchy[[Offer]:[Offer]], Hierarchy[[Domain]:[Domain]]=AF$36), 0)), 0))</f>
        <v>0</v>
      </c>
      <c r="AG51" s="72" cm="1">
        <f t="array" aca="1" ref="AG51" ca="1">SUM(_xlfn._xlws.FILTER($R51:$AC51, ISNUMBER(MATCH(_xlfn.ANCHORARRAY($R$36), _xlfn._xlws.FILTER(Hierarchy[[Offer]:[Offer]], Hierarchy[[Domain]:[Domain]]=AG$36), 0)), 0))</f>
        <v>0</v>
      </c>
    </row>
    <row r="52" spans="4:33" x14ac:dyDescent="0.4">
      <c r="Q52" s="192">
        <f ca="1"/>
        <v>46054</v>
      </c>
      <c r="R52" s="52" cm="1">
        <f t="array" aca="1" ref="R52" ca="1">SUMPRODUCT(
  (Data[Track]=R$36)*
  (Data[Earned?]=TRUE)*
  (Data[Stage Completion Date(onboard)]&gt;=$Q52)*
  (Data[Stage Completion Date(onboard)]&lt;EDATE($Q52,1))*
  Data[Estimated Incentive Amount(Onboard)]
)+SUMPRODUCT(
  (Data[Track]=R$36)*
  (Data[Earned?]=TRUE)*
  (Data[Stage Completion Date(Use)]&gt;=$Q52)*
  (Data[Stage Completion Date(Use)]&lt;EDATE($Q52,1))*
  Data[Estimated Incentive Amount(Use)]
)+SUMPRODUCT(
  (Data[Track]=R$36)*
  (Data[Earned?]=TRUE)*
  (Data[Stage Completion Date(Engage)]&gt;=$Q52)*
  (Data[Stage Completion Date(Engage)]&lt;EDATE($Q52,1))*
  Data[Estimated Incentive Amount(Engage)]
)+SUMPRODUCT(
  (Data[Track]=R$36)*
  (Data[Earned?]=TRUE)*
  (Data[Stage Completion Date(Adopt)]&gt;=$Q52)*
  (Data[Stage Completion Date(Adopt)]&lt;EDATE($Q52,1))*
  Data[Estimated Incentive Amount(Adopt)]
)</f>
        <v>0</v>
      </c>
      <c r="S52" s="52" cm="1">
        <f t="array" aca="1" ref="S52" ca="1">SUMPRODUCT(
  (Data[Track]=S$36)*
  (Data[Earned?]=TRUE)*
  (Data[Stage Completion Date(onboard)]&gt;=$Q52)*
  (Data[Stage Completion Date(onboard)]&lt;EDATE($Q52,1))*
  Data[Estimated Incentive Amount(Onboard)]
)+SUMPRODUCT(
  (Data[Track]=S$36)*
  (Data[Earned?]=TRUE)*
  (Data[Stage Completion Date(Use)]&gt;=$Q52)*
  (Data[Stage Completion Date(Use)]&lt;EDATE($Q52,1))*
  Data[Estimated Incentive Amount(Use)]
)+SUMPRODUCT(
  (Data[Track]=S$36)*
  (Data[Earned?]=TRUE)*
  (Data[Stage Completion Date(Engage)]&gt;=$Q52)*
  (Data[Stage Completion Date(Engage)]&lt;EDATE($Q52,1))*
  Data[Estimated Incentive Amount(Engage)]
)+SUMPRODUCT(
  (Data[Track]=S$36)*
  (Data[Earned?]=TRUE)*
  (Data[Stage Completion Date(Adopt)]&gt;=$Q52)*
  (Data[Stage Completion Date(Adopt)]&lt;EDATE($Q52,1))*
  Data[Estimated Incentive Amount(Adopt)]
)</f>
        <v>0</v>
      </c>
      <c r="T52" s="52" cm="1">
        <f t="array" aca="1" ref="T52" ca="1">SUMPRODUCT(
  (Data[Track]=T$36)*
  (Data[Earned?]=TRUE)*
  (Data[Stage Completion Date(onboard)]&gt;=$Q52)*
  (Data[Stage Completion Date(onboard)]&lt;EDATE($Q52,1))*
  Data[Estimated Incentive Amount(Onboard)]
)+SUMPRODUCT(
  (Data[Track]=T$36)*
  (Data[Earned?]=TRUE)*
  (Data[Stage Completion Date(Use)]&gt;=$Q52)*
  (Data[Stage Completion Date(Use)]&lt;EDATE($Q52,1))*
  Data[Estimated Incentive Amount(Use)]
)+SUMPRODUCT(
  (Data[Track]=T$36)*
  (Data[Earned?]=TRUE)*
  (Data[Stage Completion Date(Engage)]&gt;=$Q52)*
  (Data[Stage Completion Date(Engage)]&lt;EDATE($Q52,1))*
  Data[Estimated Incentive Amount(Engage)]
)+SUMPRODUCT(
  (Data[Track]=T$36)*
  (Data[Earned?]=TRUE)*
  (Data[Stage Completion Date(Adopt)]&gt;=$Q52)*
  (Data[Stage Completion Date(Adopt)]&lt;EDATE($Q52,1))*
  Data[Estimated Incentive Amount(Adopt)]
)</f>
        <v>0</v>
      </c>
      <c r="U52" s="52" cm="1">
        <f t="array" aca="1" ref="U52" ca="1">SUMPRODUCT(
  (Data[Track]=U$36)*
  (Data[Earned?]=TRUE)*
  (Data[Stage Completion Date(onboard)]&gt;=$Q52)*
  (Data[Stage Completion Date(onboard)]&lt;EDATE($Q52,1))*
  Data[Estimated Incentive Amount(Onboard)]
)+SUMPRODUCT(
  (Data[Track]=U$36)*
  (Data[Earned?]=TRUE)*
  (Data[Stage Completion Date(Use)]&gt;=$Q52)*
  (Data[Stage Completion Date(Use)]&lt;EDATE($Q52,1))*
  Data[Estimated Incentive Amount(Use)]
)+SUMPRODUCT(
  (Data[Track]=U$36)*
  (Data[Earned?]=TRUE)*
  (Data[Stage Completion Date(Engage)]&gt;=$Q52)*
  (Data[Stage Completion Date(Engage)]&lt;EDATE($Q52,1))*
  Data[Estimated Incentive Amount(Engage)]
)+SUMPRODUCT(
  (Data[Track]=U$36)*
  (Data[Earned?]=TRUE)*
  (Data[Stage Completion Date(Adopt)]&gt;=$Q52)*
  (Data[Stage Completion Date(Adopt)]&lt;EDATE($Q52,1))*
  Data[Estimated Incentive Amount(Adopt)]
)</f>
        <v>0</v>
      </c>
      <c r="V52" s="52" cm="1">
        <f t="array" aca="1" ref="V52" ca="1">SUMPRODUCT(
  (Data[Track]=V$36)*
  (Data[Earned?]=TRUE)*
  (Data[Stage Completion Date(onboard)]&gt;=$Q52)*
  (Data[Stage Completion Date(onboard)]&lt;EDATE($Q52,1))*
  Data[Estimated Incentive Amount(Onboard)]
)+SUMPRODUCT(
  (Data[Track]=V$36)*
  (Data[Earned?]=TRUE)*
  (Data[Stage Completion Date(Use)]&gt;=$Q52)*
  (Data[Stage Completion Date(Use)]&lt;EDATE($Q52,1))*
  Data[Estimated Incentive Amount(Use)]
)+SUMPRODUCT(
  (Data[Track]=V$36)*
  (Data[Earned?]=TRUE)*
  (Data[Stage Completion Date(Engage)]&gt;=$Q52)*
  (Data[Stage Completion Date(Engage)]&lt;EDATE($Q52,1))*
  Data[Estimated Incentive Amount(Engage)]
)+SUMPRODUCT(
  (Data[Track]=V$36)*
  (Data[Earned?]=TRUE)*
  (Data[Stage Completion Date(Adopt)]&gt;=$Q52)*
  (Data[Stage Completion Date(Adopt)]&lt;EDATE($Q52,1))*
  Data[Estimated Incentive Amount(Adopt)]
)</f>
        <v>0</v>
      </c>
      <c r="W52" s="52" cm="1">
        <f t="array" aca="1" ref="W52" ca="1">SUMPRODUCT(
  (Data[Track]=W$36)*
  (Data[Earned?]=TRUE)*
  (Data[Stage Completion Date(onboard)]&gt;=$Q52)*
  (Data[Stage Completion Date(onboard)]&lt;EDATE($Q52,1))*
  Data[Estimated Incentive Amount(Onboard)]
)+SUMPRODUCT(
  (Data[Track]=W$36)*
  (Data[Earned?]=TRUE)*
  (Data[Stage Completion Date(Use)]&gt;=$Q52)*
  (Data[Stage Completion Date(Use)]&lt;EDATE($Q52,1))*
  Data[Estimated Incentive Amount(Use)]
)+SUMPRODUCT(
  (Data[Track]=W$36)*
  (Data[Earned?]=TRUE)*
  (Data[Stage Completion Date(Engage)]&gt;=$Q52)*
  (Data[Stage Completion Date(Engage)]&lt;EDATE($Q52,1))*
  Data[Estimated Incentive Amount(Engage)]
)+SUMPRODUCT(
  (Data[Track]=W$36)*
  (Data[Earned?]=TRUE)*
  (Data[Stage Completion Date(Adopt)]&gt;=$Q52)*
  (Data[Stage Completion Date(Adopt)]&lt;EDATE($Q52,1))*
  Data[Estimated Incentive Amount(Adopt)]
)</f>
        <v>0</v>
      </c>
      <c r="X52" s="52" cm="1">
        <f t="array" aca="1" ref="X52" ca="1">SUMPRODUCT(
  (Data[Track]=X$36)*
  (Data[Earned?]=TRUE)*
  (Data[Stage Completion Date(onboard)]&gt;=$Q52)*
  (Data[Stage Completion Date(onboard)]&lt;EDATE($Q52,1))*
  Data[Estimated Incentive Amount(Onboard)]
)+SUMPRODUCT(
  (Data[Track]=X$36)*
  (Data[Earned?]=TRUE)*
  (Data[Stage Completion Date(Use)]&gt;=$Q52)*
  (Data[Stage Completion Date(Use)]&lt;EDATE($Q52,1))*
  Data[Estimated Incentive Amount(Use)]
)+SUMPRODUCT(
  (Data[Track]=X$36)*
  (Data[Earned?]=TRUE)*
  (Data[Stage Completion Date(Engage)]&gt;=$Q52)*
  (Data[Stage Completion Date(Engage)]&lt;EDATE($Q52,1))*
  Data[Estimated Incentive Amount(Engage)]
)+SUMPRODUCT(
  (Data[Track]=X$36)*
  (Data[Earned?]=TRUE)*
  (Data[Stage Completion Date(Adopt)]&gt;=$Q52)*
  (Data[Stage Completion Date(Adopt)]&lt;EDATE($Q52,1))*
  Data[Estimated Incentive Amount(Adopt)]
)</f>
        <v>0</v>
      </c>
      <c r="Y52" s="52" cm="1">
        <f t="array" aca="1" ref="Y52" ca="1">SUMPRODUCT(
  (Data[Track]=Y$36)*
  (Data[Earned?]=TRUE)*
  (Data[Stage Completion Date(onboard)]&gt;=$Q52)*
  (Data[Stage Completion Date(onboard)]&lt;EDATE($Q52,1))*
  Data[Estimated Incentive Amount(Onboard)]
)+SUMPRODUCT(
  (Data[Track]=Y$36)*
  (Data[Earned?]=TRUE)*
  (Data[Stage Completion Date(Use)]&gt;=$Q52)*
  (Data[Stage Completion Date(Use)]&lt;EDATE($Q52,1))*
  Data[Estimated Incentive Amount(Use)]
)+SUMPRODUCT(
  (Data[Track]=Y$36)*
  (Data[Earned?]=TRUE)*
  (Data[Stage Completion Date(Engage)]&gt;=$Q52)*
  (Data[Stage Completion Date(Engage)]&lt;EDATE($Q52,1))*
  Data[Estimated Incentive Amount(Engage)]
)+SUMPRODUCT(
  (Data[Track]=Y$36)*
  (Data[Earned?]=TRUE)*
  (Data[Stage Completion Date(Adopt)]&gt;=$Q52)*
  (Data[Stage Completion Date(Adopt)]&lt;EDATE($Q52,1))*
  Data[Estimated Incentive Amount(Adopt)]
)</f>
        <v>0</v>
      </c>
      <c r="Z52" s="52" cm="1">
        <f t="array" aca="1" ref="Z52" ca="1">SUMPRODUCT(
  (Data[Track]=Z$36)*
  (Data[Earned?]=TRUE)*
  (Data[Stage Completion Date(onboard)]&gt;=$Q52)*
  (Data[Stage Completion Date(onboard)]&lt;EDATE($Q52,1))*
  Data[Estimated Incentive Amount(Onboard)]
)+SUMPRODUCT(
  (Data[Track]=Z$36)*
  (Data[Earned?]=TRUE)*
  (Data[Stage Completion Date(Use)]&gt;=$Q52)*
  (Data[Stage Completion Date(Use)]&lt;EDATE($Q52,1))*
  Data[Estimated Incentive Amount(Use)]
)+SUMPRODUCT(
  (Data[Track]=Z$36)*
  (Data[Earned?]=TRUE)*
  (Data[Stage Completion Date(Engage)]&gt;=$Q52)*
  (Data[Stage Completion Date(Engage)]&lt;EDATE($Q52,1))*
  Data[Estimated Incentive Amount(Engage)]
)+SUMPRODUCT(
  (Data[Track]=Z$36)*
  (Data[Earned?]=TRUE)*
  (Data[Stage Completion Date(Adopt)]&gt;=$Q52)*
  (Data[Stage Completion Date(Adopt)]&lt;EDATE($Q52,1))*
  Data[Estimated Incentive Amount(Adopt)]
)</f>
        <v>0</v>
      </c>
      <c r="AA52" s="52" cm="1">
        <f t="array" aca="1" ref="AA52" ca="1">SUMPRODUCT(
  (Data[Track]=AA$36)*
  (Data[Earned?]=TRUE)*
  (Data[Stage Completion Date(onboard)]&gt;=$Q52)*
  (Data[Stage Completion Date(onboard)]&lt;EDATE($Q52,1))*
  Data[Estimated Incentive Amount(Onboard)]
)+SUMPRODUCT(
  (Data[Track]=AA$36)*
  (Data[Earned?]=TRUE)*
  (Data[Stage Completion Date(Use)]&gt;=$Q52)*
  (Data[Stage Completion Date(Use)]&lt;EDATE($Q52,1))*
  Data[Estimated Incentive Amount(Use)]
)+SUMPRODUCT(
  (Data[Track]=AA$36)*
  (Data[Earned?]=TRUE)*
  (Data[Stage Completion Date(Engage)]&gt;=$Q52)*
  (Data[Stage Completion Date(Engage)]&lt;EDATE($Q52,1))*
  Data[Estimated Incentive Amount(Engage)]
)+SUMPRODUCT(
  (Data[Track]=AA$36)*
  (Data[Earned?]=TRUE)*
  (Data[Stage Completion Date(Adopt)]&gt;=$Q52)*
  (Data[Stage Completion Date(Adopt)]&lt;EDATE($Q52,1))*
  Data[Estimated Incentive Amount(Adopt)]
)</f>
        <v>0</v>
      </c>
      <c r="AB52" s="52" cm="1">
        <f t="array" aca="1" ref="AB52" ca="1">SUMPRODUCT(
  (Data[Track]=AB$36)*
  (Data[Earned?]=TRUE)*
  (Data[Stage Completion Date(onboard)]&gt;=$Q52)*
  (Data[Stage Completion Date(onboard)]&lt;EDATE($Q52,1))*
  Data[Estimated Incentive Amount(Onboard)]
)+SUMPRODUCT(
  (Data[Track]=AB$36)*
  (Data[Earned?]=TRUE)*
  (Data[Stage Completion Date(Use)]&gt;=$Q52)*
  (Data[Stage Completion Date(Use)]&lt;EDATE($Q52,1))*
  Data[Estimated Incentive Amount(Use)]
)+SUMPRODUCT(
  (Data[Track]=AB$36)*
  (Data[Earned?]=TRUE)*
  (Data[Stage Completion Date(Engage)]&gt;=$Q52)*
  (Data[Stage Completion Date(Engage)]&lt;EDATE($Q52,1))*
  Data[Estimated Incentive Amount(Engage)]
)+SUMPRODUCT(
  (Data[Track]=AB$36)*
  (Data[Earned?]=TRUE)*
  (Data[Stage Completion Date(Adopt)]&gt;=$Q52)*
  (Data[Stage Completion Date(Adopt)]&lt;EDATE($Q52,1))*
  Data[Estimated Incentive Amount(Adopt)]
)</f>
        <v>0</v>
      </c>
      <c r="AC52" s="52" cm="1">
        <f t="array" aca="1" ref="AC52" ca="1">SUMPRODUCT(
  (Data[Track]=AC$36)*
  (Data[Earned?]=TRUE)*
  (Data[Stage Completion Date(onboard)]&gt;=$Q52)*
  (Data[Stage Completion Date(onboard)]&lt;EDATE($Q52,1))*
  Data[Estimated Incentive Amount(Onboard)]
)+SUMPRODUCT(
  (Data[Track]=AC$36)*
  (Data[Earned?]=TRUE)*
  (Data[Stage Completion Date(Use)]&gt;=$Q52)*
  (Data[Stage Completion Date(Use)]&lt;EDATE($Q52,1))*
  Data[Estimated Incentive Amount(Use)]
)+SUMPRODUCT(
  (Data[Track]=AC$36)*
  (Data[Earned?]=TRUE)*
  (Data[Stage Completion Date(Engage)]&gt;=$Q52)*
  (Data[Stage Completion Date(Engage)]&lt;EDATE($Q52,1))*
  Data[Estimated Incentive Amount(Engage)]
)+SUMPRODUCT(
  (Data[Track]=AC$36)*
  (Data[Earned?]=TRUE)*
  (Data[Stage Completion Date(Adopt)]&gt;=$Q52)*
  (Data[Stage Completion Date(Adopt)]&lt;EDATE($Q52,1))*
  Data[Estimated Incentive Amount(Adopt)]
)</f>
        <v>0</v>
      </c>
      <c r="AD52" s="72" cm="1">
        <f t="array" aca="1" ref="AD52" ca="1">SUM(_xlfn._xlws.FILTER($R52:$AC52, ISNUMBER(MATCH(_xlfn.ANCHORARRAY($R$36), _xlfn._xlws.FILTER(Hierarchy[[Offer]:[Offer]], Hierarchy[[Domain]:[Domain]]=AD$36), 0)), 0))</f>
        <v>0</v>
      </c>
      <c r="AE52" s="72" cm="1">
        <f t="array" aca="1" ref="AE52" ca="1">SUM(_xlfn._xlws.FILTER($R52:$AC52, ISNUMBER(MATCH(_xlfn.ANCHORARRAY($R$36), _xlfn._xlws.FILTER(Hierarchy[[Offer]:[Offer]], Hierarchy[[Domain]:[Domain]]=AE$36), 0)), 0))</f>
        <v>0</v>
      </c>
      <c r="AF52" s="72" cm="1">
        <f t="array" aca="1" ref="AF52" ca="1">SUM(_xlfn._xlws.FILTER($R52:$AC52, ISNUMBER(MATCH(_xlfn.ANCHORARRAY($R$36), _xlfn._xlws.FILTER(Hierarchy[[Offer]:[Offer]], Hierarchy[[Domain]:[Domain]]=AF$36), 0)), 0))</f>
        <v>0</v>
      </c>
      <c r="AG52" s="72" cm="1">
        <f t="array" aca="1" ref="AG52" ca="1">SUM(_xlfn._xlws.FILTER($R52:$AC52, ISNUMBER(MATCH(_xlfn.ANCHORARRAY($R$36), _xlfn._xlws.FILTER(Hierarchy[[Offer]:[Offer]], Hierarchy[[Domain]:[Domain]]=AG$36), 0)), 0))</f>
        <v>0</v>
      </c>
    </row>
    <row r="53" spans="4:33" x14ac:dyDescent="0.4">
      <c r="Q53" s="192">
        <f ca="1"/>
        <v>46023</v>
      </c>
      <c r="R53" s="52" cm="1">
        <f t="array" aca="1" ref="R53" ca="1">SUMPRODUCT(
  (Data[Track]=R$36)*
  (Data[Earned?]=TRUE)*
  (Data[Stage Completion Date(onboard)]&gt;=$Q53)*
  (Data[Stage Completion Date(onboard)]&lt;EDATE($Q53,1))*
  Data[Estimated Incentive Amount(Onboard)]
)+SUMPRODUCT(
  (Data[Track]=R$36)*
  (Data[Earned?]=TRUE)*
  (Data[Stage Completion Date(Use)]&gt;=$Q53)*
  (Data[Stage Completion Date(Use)]&lt;EDATE($Q53,1))*
  Data[Estimated Incentive Amount(Use)]
)+SUMPRODUCT(
  (Data[Track]=R$36)*
  (Data[Earned?]=TRUE)*
  (Data[Stage Completion Date(Engage)]&gt;=$Q53)*
  (Data[Stage Completion Date(Engage)]&lt;EDATE($Q53,1))*
  Data[Estimated Incentive Amount(Engage)]
)+SUMPRODUCT(
  (Data[Track]=R$36)*
  (Data[Earned?]=TRUE)*
  (Data[Stage Completion Date(Adopt)]&gt;=$Q53)*
  (Data[Stage Completion Date(Adopt)]&lt;EDATE($Q53,1))*
  Data[Estimated Incentive Amount(Adopt)]
)</f>
        <v>0</v>
      </c>
      <c r="S53" s="52" cm="1">
        <f t="array" aca="1" ref="S53" ca="1">SUMPRODUCT(
  (Data[Track]=S$36)*
  (Data[Earned?]=TRUE)*
  (Data[Stage Completion Date(onboard)]&gt;=$Q53)*
  (Data[Stage Completion Date(onboard)]&lt;EDATE($Q53,1))*
  Data[Estimated Incentive Amount(Onboard)]
)+SUMPRODUCT(
  (Data[Track]=S$36)*
  (Data[Earned?]=TRUE)*
  (Data[Stage Completion Date(Use)]&gt;=$Q53)*
  (Data[Stage Completion Date(Use)]&lt;EDATE($Q53,1))*
  Data[Estimated Incentive Amount(Use)]
)+SUMPRODUCT(
  (Data[Track]=S$36)*
  (Data[Earned?]=TRUE)*
  (Data[Stage Completion Date(Engage)]&gt;=$Q53)*
  (Data[Stage Completion Date(Engage)]&lt;EDATE($Q53,1))*
  Data[Estimated Incentive Amount(Engage)]
)+SUMPRODUCT(
  (Data[Track]=S$36)*
  (Data[Earned?]=TRUE)*
  (Data[Stage Completion Date(Adopt)]&gt;=$Q53)*
  (Data[Stage Completion Date(Adopt)]&lt;EDATE($Q53,1))*
  Data[Estimated Incentive Amount(Adopt)]
)</f>
        <v>0</v>
      </c>
      <c r="T53" s="52" cm="1">
        <f t="array" aca="1" ref="T53" ca="1">SUMPRODUCT(
  (Data[Track]=T$36)*
  (Data[Earned?]=TRUE)*
  (Data[Stage Completion Date(onboard)]&gt;=$Q53)*
  (Data[Stage Completion Date(onboard)]&lt;EDATE($Q53,1))*
  Data[Estimated Incentive Amount(Onboard)]
)+SUMPRODUCT(
  (Data[Track]=T$36)*
  (Data[Earned?]=TRUE)*
  (Data[Stage Completion Date(Use)]&gt;=$Q53)*
  (Data[Stage Completion Date(Use)]&lt;EDATE($Q53,1))*
  Data[Estimated Incentive Amount(Use)]
)+SUMPRODUCT(
  (Data[Track]=T$36)*
  (Data[Earned?]=TRUE)*
  (Data[Stage Completion Date(Engage)]&gt;=$Q53)*
  (Data[Stage Completion Date(Engage)]&lt;EDATE($Q53,1))*
  Data[Estimated Incentive Amount(Engage)]
)+SUMPRODUCT(
  (Data[Track]=T$36)*
  (Data[Earned?]=TRUE)*
  (Data[Stage Completion Date(Adopt)]&gt;=$Q53)*
  (Data[Stage Completion Date(Adopt)]&lt;EDATE($Q53,1))*
  Data[Estimated Incentive Amount(Adopt)]
)</f>
        <v>0</v>
      </c>
      <c r="U53" s="52" cm="1">
        <f t="array" aca="1" ref="U53" ca="1">SUMPRODUCT(
  (Data[Track]=U$36)*
  (Data[Earned?]=TRUE)*
  (Data[Stage Completion Date(onboard)]&gt;=$Q53)*
  (Data[Stage Completion Date(onboard)]&lt;EDATE($Q53,1))*
  Data[Estimated Incentive Amount(Onboard)]
)+SUMPRODUCT(
  (Data[Track]=U$36)*
  (Data[Earned?]=TRUE)*
  (Data[Stage Completion Date(Use)]&gt;=$Q53)*
  (Data[Stage Completion Date(Use)]&lt;EDATE($Q53,1))*
  Data[Estimated Incentive Amount(Use)]
)+SUMPRODUCT(
  (Data[Track]=U$36)*
  (Data[Earned?]=TRUE)*
  (Data[Stage Completion Date(Engage)]&gt;=$Q53)*
  (Data[Stage Completion Date(Engage)]&lt;EDATE($Q53,1))*
  Data[Estimated Incentive Amount(Engage)]
)+SUMPRODUCT(
  (Data[Track]=U$36)*
  (Data[Earned?]=TRUE)*
  (Data[Stage Completion Date(Adopt)]&gt;=$Q53)*
  (Data[Stage Completion Date(Adopt)]&lt;EDATE($Q53,1))*
  Data[Estimated Incentive Amount(Adopt)]
)</f>
        <v>0</v>
      </c>
      <c r="V53" s="52" cm="1">
        <f t="array" aca="1" ref="V53" ca="1">SUMPRODUCT(
  (Data[Track]=V$36)*
  (Data[Earned?]=TRUE)*
  (Data[Stage Completion Date(onboard)]&gt;=$Q53)*
  (Data[Stage Completion Date(onboard)]&lt;EDATE($Q53,1))*
  Data[Estimated Incentive Amount(Onboard)]
)+SUMPRODUCT(
  (Data[Track]=V$36)*
  (Data[Earned?]=TRUE)*
  (Data[Stage Completion Date(Use)]&gt;=$Q53)*
  (Data[Stage Completion Date(Use)]&lt;EDATE($Q53,1))*
  Data[Estimated Incentive Amount(Use)]
)+SUMPRODUCT(
  (Data[Track]=V$36)*
  (Data[Earned?]=TRUE)*
  (Data[Stage Completion Date(Engage)]&gt;=$Q53)*
  (Data[Stage Completion Date(Engage)]&lt;EDATE($Q53,1))*
  Data[Estimated Incentive Amount(Engage)]
)+SUMPRODUCT(
  (Data[Track]=V$36)*
  (Data[Earned?]=TRUE)*
  (Data[Stage Completion Date(Adopt)]&gt;=$Q53)*
  (Data[Stage Completion Date(Adopt)]&lt;EDATE($Q53,1))*
  Data[Estimated Incentive Amount(Adopt)]
)</f>
        <v>0</v>
      </c>
      <c r="W53" s="52" cm="1">
        <f t="array" aca="1" ref="W53" ca="1">SUMPRODUCT(
  (Data[Track]=W$36)*
  (Data[Earned?]=TRUE)*
  (Data[Stage Completion Date(onboard)]&gt;=$Q53)*
  (Data[Stage Completion Date(onboard)]&lt;EDATE($Q53,1))*
  Data[Estimated Incentive Amount(Onboard)]
)+SUMPRODUCT(
  (Data[Track]=W$36)*
  (Data[Earned?]=TRUE)*
  (Data[Stage Completion Date(Use)]&gt;=$Q53)*
  (Data[Stage Completion Date(Use)]&lt;EDATE($Q53,1))*
  Data[Estimated Incentive Amount(Use)]
)+SUMPRODUCT(
  (Data[Track]=W$36)*
  (Data[Earned?]=TRUE)*
  (Data[Stage Completion Date(Engage)]&gt;=$Q53)*
  (Data[Stage Completion Date(Engage)]&lt;EDATE($Q53,1))*
  Data[Estimated Incentive Amount(Engage)]
)+SUMPRODUCT(
  (Data[Track]=W$36)*
  (Data[Earned?]=TRUE)*
  (Data[Stage Completion Date(Adopt)]&gt;=$Q53)*
  (Data[Stage Completion Date(Adopt)]&lt;EDATE($Q53,1))*
  Data[Estimated Incentive Amount(Adopt)]
)</f>
        <v>0</v>
      </c>
      <c r="X53" s="52" cm="1">
        <f t="array" aca="1" ref="X53" ca="1">SUMPRODUCT(
  (Data[Track]=X$36)*
  (Data[Earned?]=TRUE)*
  (Data[Stage Completion Date(onboard)]&gt;=$Q53)*
  (Data[Stage Completion Date(onboard)]&lt;EDATE($Q53,1))*
  Data[Estimated Incentive Amount(Onboard)]
)+SUMPRODUCT(
  (Data[Track]=X$36)*
  (Data[Earned?]=TRUE)*
  (Data[Stage Completion Date(Use)]&gt;=$Q53)*
  (Data[Stage Completion Date(Use)]&lt;EDATE($Q53,1))*
  Data[Estimated Incentive Amount(Use)]
)+SUMPRODUCT(
  (Data[Track]=X$36)*
  (Data[Earned?]=TRUE)*
  (Data[Stage Completion Date(Engage)]&gt;=$Q53)*
  (Data[Stage Completion Date(Engage)]&lt;EDATE($Q53,1))*
  Data[Estimated Incentive Amount(Engage)]
)+SUMPRODUCT(
  (Data[Track]=X$36)*
  (Data[Earned?]=TRUE)*
  (Data[Stage Completion Date(Adopt)]&gt;=$Q53)*
  (Data[Stage Completion Date(Adopt)]&lt;EDATE($Q53,1))*
  Data[Estimated Incentive Amount(Adopt)]
)</f>
        <v>0</v>
      </c>
      <c r="Y53" s="52" cm="1">
        <f t="array" aca="1" ref="Y53" ca="1">SUMPRODUCT(
  (Data[Track]=Y$36)*
  (Data[Earned?]=TRUE)*
  (Data[Stage Completion Date(onboard)]&gt;=$Q53)*
  (Data[Stage Completion Date(onboard)]&lt;EDATE($Q53,1))*
  Data[Estimated Incentive Amount(Onboard)]
)+SUMPRODUCT(
  (Data[Track]=Y$36)*
  (Data[Earned?]=TRUE)*
  (Data[Stage Completion Date(Use)]&gt;=$Q53)*
  (Data[Stage Completion Date(Use)]&lt;EDATE($Q53,1))*
  Data[Estimated Incentive Amount(Use)]
)+SUMPRODUCT(
  (Data[Track]=Y$36)*
  (Data[Earned?]=TRUE)*
  (Data[Stage Completion Date(Engage)]&gt;=$Q53)*
  (Data[Stage Completion Date(Engage)]&lt;EDATE($Q53,1))*
  Data[Estimated Incentive Amount(Engage)]
)+SUMPRODUCT(
  (Data[Track]=Y$36)*
  (Data[Earned?]=TRUE)*
  (Data[Stage Completion Date(Adopt)]&gt;=$Q53)*
  (Data[Stage Completion Date(Adopt)]&lt;EDATE($Q53,1))*
  Data[Estimated Incentive Amount(Adopt)]
)</f>
        <v>0</v>
      </c>
      <c r="Z53" s="52" cm="1">
        <f t="array" aca="1" ref="Z53" ca="1">SUMPRODUCT(
  (Data[Track]=Z$36)*
  (Data[Earned?]=TRUE)*
  (Data[Stage Completion Date(onboard)]&gt;=$Q53)*
  (Data[Stage Completion Date(onboard)]&lt;EDATE($Q53,1))*
  Data[Estimated Incentive Amount(Onboard)]
)+SUMPRODUCT(
  (Data[Track]=Z$36)*
  (Data[Earned?]=TRUE)*
  (Data[Stage Completion Date(Use)]&gt;=$Q53)*
  (Data[Stage Completion Date(Use)]&lt;EDATE($Q53,1))*
  Data[Estimated Incentive Amount(Use)]
)+SUMPRODUCT(
  (Data[Track]=Z$36)*
  (Data[Earned?]=TRUE)*
  (Data[Stage Completion Date(Engage)]&gt;=$Q53)*
  (Data[Stage Completion Date(Engage)]&lt;EDATE($Q53,1))*
  Data[Estimated Incentive Amount(Engage)]
)+SUMPRODUCT(
  (Data[Track]=Z$36)*
  (Data[Earned?]=TRUE)*
  (Data[Stage Completion Date(Adopt)]&gt;=$Q53)*
  (Data[Stage Completion Date(Adopt)]&lt;EDATE($Q53,1))*
  Data[Estimated Incentive Amount(Adopt)]
)</f>
        <v>0</v>
      </c>
      <c r="AA53" s="52" cm="1">
        <f t="array" aca="1" ref="AA53" ca="1">SUMPRODUCT(
  (Data[Track]=AA$36)*
  (Data[Earned?]=TRUE)*
  (Data[Stage Completion Date(onboard)]&gt;=$Q53)*
  (Data[Stage Completion Date(onboard)]&lt;EDATE($Q53,1))*
  Data[Estimated Incentive Amount(Onboard)]
)+SUMPRODUCT(
  (Data[Track]=AA$36)*
  (Data[Earned?]=TRUE)*
  (Data[Stage Completion Date(Use)]&gt;=$Q53)*
  (Data[Stage Completion Date(Use)]&lt;EDATE($Q53,1))*
  Data[Estimated Incentive Amount(Use)]
)+SUMPRODUCT(
  (Data[Track]=AA$36)*
  (Data[Earned?]=TRUE)*
  (Data[Stage Completion Date(Engage)]&gt;=$Q53)*
  (Data[Stage Completion Date(Engage)]&lt;EDATE($Q53,1))*
  Data[Estimated Incentive Amount(Engage)]
)+SUMPRODUCT(
  (Data[Track]=AA$36)*
  (Data[Earned?]=TRUE)*
  (Data[Stage Completion Date(Adopt)]&gt;=$Q53)*
  (Data[Stage Completion Date(Adopt)]&lt;EDATE($Q53,1))*
  Data[Estimated Incentive Amount(Adopt)]
)</f>
        <v>0</v>
      </c>
      <c r="AB53" s="52" cm="1">
        <f t="array" aca="1" ref="AB53" ca="1">SUMPRODUCT(
  (Data[Track]=AB$36)*
  (Data[Earned?]=TRUE)*
  (Data[Stage Completion Date(onboard)]&gt;=$Q53)*
  (Data[Stage Completion Date(onboard)]&lt;EDATE($Q53,1))*
  Data[Estimated Incentive Amount(Onboard)]
)+SUMPRODUCT(
  (Data[Track]=AB$36)*
  (Data[Earned?]=TRUE)*
  (Data[Stage Completion Date(Use)]&gt;=$Q53)*
  (Data[Stage Completion Date(Use)]&lt;EDATE($Q53,1))*
  Data[Estimated Incentive Amount(Use)]
)+SUMPRODUCT(
  (Data[Track]=AB$36)*
  (Data[Earned?]=TRUE)*
  (Data[Stage Completion Date(Engage)]&gt;=$Q53)*
  (Data[Stage Completion Date(Engage)]&lt;EDATE($Q53,1))*
  Data[Estimated Incentive Amount(Engage)]
)+SUMPRODUCT(
  (Data[Track]=AB$36)*
  (Data[Earned?]=TRUE)*
  (Data[Stage Completion Date(Adopt)]&gt;=$Q53)*
  (Data[Stage Completion Date(Adopt)]&lt;EDATE($Q53,1))*
  Data[Estimated Incentive Amount(Adopt)]
)</f>
        <v>0</v>
      </c>
      <c r="AC53" s="52" cm="1">
        <f t="array" aca="1" ref="AC53" ca="1">SUMPRODUCT(
  (Data[Track]=AC$36)*
  (Data[Earned?]=TRUE)*
  (Data[Stage Completion Date(onboard)]&gt;=$Q53)*
  (Data[Stage Completion Date(onboard)]&lt;EDATE($Q53,1))*
  Data[Estimated Incentive Amount(Onboard)]
)+SUMPRODUCT(
  (Data[Track]=AC$36)*
  (Data[Earned?]=TRUE)*
  (Data[Stage Completion Date(Use)]&gt;=$Q53)*
  (Data[Stage Completion Date(Use)]&lt;EDATE($Q53,1))*
  Data[Estimated Incentive Amount(Use)]
)+SUMPRODUCT(
  (Data[Track]=AC$36)*
  (Data[Earned?]=TRUE)*
  (Data[Stage Completion Date(Engage)]&gt;=$Q53)*
  (Data[Stage Completion Date(Engage)]&lt;EDATE($Q53,1))*
  Data[Estimated Incentive Amount(Engage)]
)+SUMPRODUCT(
  (Data[Track]=AC$36)*
  (Data[Earned?]=TRUE)*
  (Data[Stage Completion Date(Adopt)]&gt;=$Q53)*
  (Data[Stage Completion Date(Adopt)]&lt;EDATE($Q53,1))*
  Data[Estimated Incentive Amount(Adopt)]
)</f>
        <v>0</v>
      </c>
      <c r="AD53" s="72" cm="1">
        <f t="array" aca="1" ref="AD53" ca="1">SUM(_xlfn._xlws.FILTER($R53:$AC53, ISNUMBER(MATCH(_xlfn.ANCHORARRAY($R$36), _xlfn._xlws.FILTER(Hierarchy[[Offer]:[Offer]], Hierarchy[[Domain]:[Domain]]=AD$36), 0)), 0))</f>
        <v>0</v>
      </c>
      <c r="AE53" s="72" cm="1">
        <f t="array" aca="1" ref="AE53" ca="1">SUM(_xlfn._xlws.FILTER($R53:$AC53, ISNUMBER(MATCH(_xlfn.ANCHORARRAY($R$36), _xlfn._xlws.FILTER(Hierarchy[[Offer]:[Offer]], Hierarchy[[Domain]:[Domain]]=AE$36), 0)), 0))</f>
        <v>0</v>
      </c>
      <c r="AF53" s="72" cm="1">
        <f t="array" aca="1" ref="AF53" ca="1">SUM(_xlfn._xlws.FILTER($R53:$AC53, ISNUMBER(MATCH(_xlfn.ANCHORARRAY($R$36), _xlfn._xlws.FILTER(Hierarchy[[Offer]:[Offer]], Hierarchy[[Domain]:[Domain]]=AF$36), 0)), 0))</f>
        <v>0</v>
      </c>
      <c r="AG53" s="72" cm="1">
        <f t="array" aca="1" ref="AG53" ca="1">SUM(_xlfn._xlws.FILTER($R53:$AC53, ISNUMBER(MATCH(_xlfn.ANCHORARRAY($R$36), _xlfn._xlws.FILTER(Hierarchy[[Offer]:[Offer]], Hierarchy[[Domain]:[Domain]]=AG$36), 0)), 0))</f>
        <v>0</v>
      </c>
    </row>
    <row r="54" spans="4:33" x14ac:dyDescent="0.4">
      <c r="Q54" s="192">
        <f ca="1"/>
        <v>45992</v>
      </c>
      <c r="R54" s="52" cm="1">
        <f t="array" aca="1" ref="R54" ca="1">SUMPRODUCT(
  (Data[Track]=R$36)*
  (Data[Earned?]=TRUE)*
  (Data[Stage Completion Date(onboard)]&gt;=$Q54)*
  (Data[Stage Completion Date(onboard)]&lt;EDATE($Q54,1))*
  Data[Estimated Incentive Amount(Onboard)]
)+SUMPRODUCT(
  (Data[Track]=R$36)*
  (Data[Earned?]=TRUE)*
  (Data[Stage Completion Date(Use)]&gt;=$Q54)*
  (Data[Stage Completion Date(Use)]&lt;EDATE($Q54,1))*
  Data[Estimated Incentive Amount(Use)]
)+SUMPRODUCT(
  (Data[Track]=R$36)*
  (Data[Earned?]=TRUE)*
  (Data[Stage Completion Date(Engage)]&gt;=$Q54)*
  (Data[Stage Completion Date(Engage)]&lt;EDATE($Q54,1))*
  Data[Estimated Incentive Amount(Engage)]
)+SUMPRODUCT(
  (Data[Track]=R$36)*
  (Data[Earned?]=TRUE)*
  (Data[Stage Completion Date(Adopt)]&gt;=$Q54)*
  (Data[Stage Completion Date(Adopt)]&lt;EDATE($Q54,1))*
  Data[Estimated Incentive Amount(Adopt)]
)</f>
        <v>0</v>
      </c>
      <c r="S54" s="52" cm="1">
        <f t="array" aca="1" ref="S54" ca="1">SUMPRODUCT(
  (Data[Track]=S$36)*
  (Data[Earned?]=TRUE)*
  (Data[Stage Completion Date(onboard)]&gt;=$Q54)*
  (Data[Stage Completion Date(onboard)]&lt;EDATE($Q54,1))*
  Data[Estimated Incentive Amount(Onboard)]
)+SUMPRODUCT(
  (Data[Track]=S$36)*
  (Data[Earned?]=TRUE)*
  (Data[Stage Completion Date(Use)]&gt;=$Q54)*
  (Data[Stage Completion Date(Use)]&lt;EDATE($Q54,1))*
  Data[Estimated Incentive Amount(Use)]
)+SUMPRODUCT(
  (Data[Track]=S$36)*
  (Data[Earned?]=TRUE)*
  (Data[Stage Completion Date(Engage)]&gt;=$Q54)*
  (Data[Stage Completion Date(Engage)]&lt;EDATE($Q54,1))*
  Data[Estimated Incentive Amount(Engage)]
)+SUMPRODUCT(
  (Data[Track]=S$36)*
  (Data[Earned?]=TRUE)*
  (Data[Stage Completion Date(Adopt)]&gt;=$Q54)*
  (Data[Stage Completion Date(Adopt)]&lt;EDATE($Q54,1))*
  Data[Estimated Incentive Amount(Adopt)]
)</f>
        <v>0</v>
      </c>
      <c r="T54" s="52" cm="1">
        <f t="array" aca="1" ref="T54" ca="1">SUMPRODUCT(
  (Data[Track]=T$36)*
  (Data[Earned?]=TRUE)*
  (Data[Stage Completion Date(onboard)]&gt;=$Q54)*
  (Data[Stage Completion Date(onboard)]&lt;EDATE($Q54,1))*
  Data[Estimated Incentive Amount(Onboard)]
)+SUMPRODUCT(
  (Data[Track]=T$36)*
  (Data[Earned?]=TRUE)*
  (Data[Stage Completion Date(Use)]&gt;=$Q54)*
  (Data[Stage Completion Date(Use)]&lt;EDATE($Q54,1))*
  Data[Estimated Incentive Amount(Use)]
)+SUMPRODUCT(
  (Data[Track]=T$36)*
  (Data[Earned?]=TRUE)*
  (Data[Stage Completion Date(Engage)]&gt;=$Q54)*
  (Data[Stage Completion Date(Engage)]&lt;EDATE($Q54,1))*
  Data[Estimated Incentive Amount(Engage)]
)+SUMPRODUCT(
  (Data[Track]=T$36)*
  (Data[Earned?]=TRUE)*
  (Data[Stage Completion Date(Adopt)]&gt;=$Q54)*
  (Data[Stage Completion Date(Adopt)]&lt;EDATE($Q54,1))*
  Data[Estimated Incentive Amount(Adopt)]
)</f>
        <v>0</v>
      </c>
      <c r="U54" s="52" cm="1">
        <f t="array" aca="1" ref="U54" ca="1">SUMPRODUCT(
  (Data[Track]=U$36)*
  (Data[Earned?]=TRUE)*
  (Data[Stage Completion Date(onboard)]&gt;=$Q54)*
  (Data[Stage Completion Date(onboard)]&lt;EDATE($Q54,1))*
  Data[Estimated Incentive Amount(Onboard)]
)+SUMPRODUCT(
  (Data[Track]=U$36)*
  (Data[Earned?]=TRUE)*
  (Data[Stage Completion Date(Use)]&gt;=$Q54)*
  (Data[Stage Completion Date(Use)]&lt;EDATE($Q54,1))*
  Data[Estimated Incentive Amount(Use)]
)+SUMPRODUCT(
  (Data[Track]=U$36)*
  (Data[Earned?]=TRUE)*
  (Data[Stage Completion Date(Engage)]&gt;=$Q54)*
  (Data[Stage Completion Date(Engage)]&lt;EDATE($Q54,1))*
  Data[Estimated Incentive Amount(Engage)]
)+SUMPRODUCT(
  (Data[Track]=U$36)*
  (Data[Earned?]=TRUE)*
  (Data[Stage Completion Date(Adopt)]&gt;=$Q54)*
  (Data[Stage Completion Date(Adopt)]&lt;EDATE($Q54,1))*
  Data[Estimated Incentive Amount(Adopt)]
)</f>
        <v>0</v>
      </c>
      <c r="V54" s="52" cm="1">
        <f t="array" aca="1" ref="V54" ca="1">SUMPRODUCT(
  (Data[Track]=V$36)*
  (Data[Earned?]=TRUE)*
  (Data[Stage Completion Date(onboard)]&gt;=$Q54)*
  (Data[Stage Completion Date(onboard)]&lt;EDATE($Q54,1))*
  Data[Estimated Incentive Amount(Onboard)]
)+SUMPRODUCT(
  (Data[Track]=V$36)*
  (Data[Earned?]=TRUE)*
  (Data[Stage Completion Date(Use)]&gt;=$Q54)*
  (Data[Stage Completion Date(Use)]&lt;EDATE($Q54,1))*
  Data[Estimated Incentive Amount(Use)]
)+SUMPRODUCT(
  (Data[Track]=V$36)*
  (Data[Earned?]=TRUE)*
  (Data[Stage Completion Date(Engage)]&gt;=$Q54)*
  (Data[Stage Completion Date(Engage)]&lt;EDATE($Q54,1))*
  Data[Estimated Incentive Amount(Engage)]
)+SUMPRODUCT(
  (Data[Track]=V$36)*
  (Data[Earned?]=TRUE)*
  (Data[Stage Completion Date(Adopt)]&gt;=$Q54)*
  (Data[Stage Completion Date(Adopt)]&lt;EDATE($Q54,1))*
  Data[Estimated Incentive Amount(Adopt)]
)</f>
        <v>0</v>
      </c>
      <c r="W54" s="52" cm="1">
        <f t="array" aca="1" ref="W54" ca="1">SUMPRODUCT(
  (Data[Track]=W$36)*
  (Data[Earned?]=TRUE)*
  (Data[Stage Completion Date(onboard)]&gt;=$Q54)*
  (Data[Stage Completion Date(onboard)]&lt;EDATE($Q54,1))*
  Data[Estimated Incentive Amount(Onboard)]
)+SUMPRODUCT(
  (Data[Track]=W$36)*
  (Data[Earned?]=TRUE)*
  (Data[Stage Completion Date(Use)]&gt;=$Q54)*
  (Data[Stage Completion Date(Use)]&lt;EDATE($Q54,1))*
  Data[Estimated Incentive Amount(Use)]
)+SUMPRODUCT(
  (Data[Track]=W$36)*
  (Data[Earned?]=TRUE)*
  (Data[Stage Completion Date(Engage)]&gt;=$Q54)*
  (Data[Stage Completion Date(Engage)]&lt;EDATE($Q54,1))*
  Data[Estimated Incentive Amount(Engage)]
)+SUMPRODUCT(
  (Data[Track]=W$36)*
  (Data[Earned?]=TRUE)*
  (Data[Stage Completion Date(Adopt)]&gt;=$Q54)*
  (Data[Stage Completion Date(Adopt)]&lt;EDATE($Q54,1))*
  Data[Estimated Incentive Amount(Adopt)]
)</f>
        <v>0</v>
      </c>
      <c r="X54" s="52" cm="1">
        <f t="array" aca="1" ref="X54" ca="1">SUMPRODUCT(
  (Data[Track]=X$36)*
  (Data[Earned?]=TRUE)*
  (Data[Stage Completion Date(onboard)]&gt;=$Q54)*
  (Data[Stage Completion Date(onboard)]&lt;EDATE($Q54,1))*
  Data[Estimated Incentive Amount(Onboard)]
)+SUMPRODUCT(
  (Data[Track]=X$36)*
  (Data[Earned?]=TRUE)*
  (Data[Stage Completion Date(Use)]&gt;=$Q54)*
  (Data[Stage Completion Date(Use)]&lt;EDATE($Q54,1))*
  Data[Estimated Incentive Amount(Use)]
)+SUMPRODUCT(
  (Data[Track]=X$36)*
  (Data[Earned?]=TRUE)*
  (Data[Stage Completion Date(Engage)]&gt;=$Q54)*
  (Data[Stage Completion Date(Engage)]&lt;EDATE($Q54,1))*
  Data[Estimated Incentive Amount(Engage)]
)+SUMPRODUCT(
  (Data[Track]=X$36)*
  (Data[Earned?]=TRUE)*
  (Data[Stage Completion Date(Adopt)]&gt;=$Q54)*
  (Data[Stage Completion Date(Adopt)]&lt;EDATE($Q54,1))*
  Data[Estimated Incentive Amount(Adopt)]
)</f>
        <v>0</v>
      </c>
      <c r="Y54" s="52" cm="1">
        <f t="array" aca="1" ref="Y54" ca="1">SUMPRODUCT(
  (Data[Track]=Y$36)*
  (Data[Earned?]=TRUE)*
  (Data[Stage Completion Date(onboard)]&gt;=$Q54)*
  (Data[Stage Completion Date(onboard)]&lt;EDATE($Q54,1))*
  Data[Estimated Incentive Amount(Onboard)]
)+SUMPRODUCT(
  (Data[Track]=Y$36)*
  (Data[Earned?]=TRUE)*
  (Data[Stage Completion Date(Use)]&gt;=$Q54)*
  (Data[Stage Completion Date(Use)]&lt;EDATE($Q54,1))*
  Data[Estimated Incentive Amount(Use)]
)+SUMPRODUCT(
  (Data[Track]=Y$36)*
  (Data[Earned?]=TRUE)*
  (Data[Stage Completion Date(Engage)]&gt;=$Q54)*
  (Data[Stage Completion Date(Engage)]&lt;EDATE($Q54,1))*
  Data[Estimated Incentive Amount(Engage)]
)+SUMPRODUCT(
  (Data[Track]=Y$36)*
  (Data[Earned?]=TRUE)*
  (Data[Stage Completion Date(Adopt)]&gt;=$Q54)*
  (Data[Stage Completion Date(Adopt)]&lt;EDATE($Q54,1))*
  Data[Estimated Incentive Amount(Adopt)]
)</f>
        <v>0</v>
      </c>
      <c r="Z54" s="52" cm="1">
        <f t="array" aca="1" ref="Z54" ca="1">SUMPRODUCT(
  (Data[Track]=Z$36)*
  (Data[Earned?]=TRUE)*
  (Data[Stage Completion Date(onboard)]&gt;=$Q54)*
  (Data[Stage Completion Date(onboard)]&lt;EDATE($Q54,1))*
  Data[Estimated Incentive Amount(Onboard)]
)+SUMPRODUCT(
  (Data[Track]=Z$36)*
  (Data[Earned?]=TRUE)*
  (Data[Stage Completion Date(Use)]&gt;=$Q54)*
  (Data[Stage Completion Date(Use)]&lt;EDATE($Q54,1))*
  Data[Estimated Incentive Amount(Use)]
)+SUMPRODUCT(
  (Data[Track]=Z$36)*
  (Data[Earned?]=TRUE)*
  (Data[Stage Completion Date(Engage)]&gt;=$Q54)*
  (Data[Stage Completion Date(Engage)]&lt;EDATE($Q54,1))*
  Data[Estimated Incentive Amount(Engage)]
)+SUMPRODUCT(
  (Data[Track]=Z$36)*
  (Data[Earned?]=TRUE)*
  (Data[Stage Completion Date(Adopt)]&gt;=$Q54)*
  (Data[Stage Completion Date(Adopt)]&lt;EDATE($Q54,1))*
  Data[Estimated Incentive Amount(Adopt)]
)</f>
        <v>0</v>
      </c>
      <c r="AA54" s="52" cm="1">
        <f t="array" aca="1" ref="AA54" ca="1">SUMPRODUCT(
  (Data[Track]=AA$36)*
  (Data[Earned?]=TRUE)*
  (Data[Stage Completion Date(onboard)]&gt;=$Q54)*
  (Data[Stage Completion Date(onboard)]&lt;EDATE($Q54,1))*
  Data[Estimated Incentive Amount(Onboard)]
)+SUMPRODUCT(
  (Data[Track]=AA$36)*
  (Data[Earned?]=TRUE)*
  (Data[Stage Completion Date(Use)]&gt;=$Q54)*
  (Data[Stage Completion Date(Use)]&lt;EDATE($Q54,1))*
  Data[Estimated Incentive Amount(Use)]
)+SUMPRODUCT(
  (Data[Track]=AA$36)*
  (Data[Earned?]=TRUE)*
  (Data[Stage Completion Date(Engage)]&gt;=$Q54)*
  (Data[Stage Completion Date(Engage)]&lt;EDATE($Q54,1))*
  Data[Estimated Incentive Amount(Engage)]
)+SUMPRODUCT(
  (Data[Track]=AA$36)*
  (Data[Earned?]=TRUE)*
  (Data[Stage Completion Date(Adopt)]&gt;=$Q54)*
  (Data[Stage Completion Date(Adopt)]&lt;EDATE($Q54,1))*
  Data[Estimated Incentive Amount(Adopt)]
)</f>
        <v>0</v>
      </c>
      <c r="AB54" s="52" cm="1">
        <f t="array" aca="1" ref="AB54" ca="1">SUMPRODUCT(
  (Data[Track]=AB$36)*
  (Data[Earned?]=TRUE)*
  (Data[Stage Completion Date(onboard)]&gt;=$Q54)*
  (Data[Stage Completion Date(onboard)]&lt;EDATE($Q54,1))*
  Data[Estimated Incentive Amount(Onboard)]
)+SUMPRODUCT(
  (Data[Track]=AB$36)*
  (Data[Earned?]=TRUE)*
  (Data[Stage Completion Date(Use)]&gt;=$Q54)*
  (Data[Stage Completion Date(Use)]&lt;EDATE($Q54,1))*
  Data[Estimated Incentive Amount(Use)]
)+SUMPRODUCT(
  (Data[Track]=AB$36)*
  (Data[Earned?]=TRUE)*
  (Data[Stage Completion Date(Engage)]&gt;=$Q54)*
  (Data[Stage Completion Date(Engage)]&lt;EDATE($Q54,1))*
  Data[Estimated Incentive Amount(Engage)]
)+SUMPRODUCT(
  (Data[Track]=AB$36)*
  (Data[Earned?]=TRUE)*
  (Data[Stage Completion Date(Adopt)]&gt;=$Q54)*
  (Data[Stage Completion Date(Adopt)]&lt;EDATE($Q54,1))*
  Data[Estimated Incentive Amount(Adopt)]
)</f>
        <v>0</v>
      </c>
      <c r="AC54" s="52" cm="1">
        <f t="array" aca="1" ref="AC54" ca="1">SUMPRODUCT(
  (Data[Track]=AC$36)*
  (Data[Earned?]=TRUE)*
  (Data[Stage Completion Date(onboard)]&gt;=$Q54)*
  (Data[Stage Completion Date(onboard)]&lt;EDATE($Q54,1))*
  Data[Estimated Incentive Amount(Onboard)]
)+SUMPRODUCT(
  (Data[Track]=AC$36)*
  (Data[Earned?]=TRUE)*
  (Data[Stage Completion Date(Use)]&gt;=$Q54)*
  (Data[Stage Completion Date(Use)]&lt;EDATE($Q54,1))*
  Data[Estimated Incentive Amount(Use)]
)+SUMPRODUCT(
  (Data[Track]=AC$36)*
  (Data[Earned?]=TRUE)*
  (Data[Stage Completion Date(Engage)]&gt;=$Q54)*
  (Data[Stage Completion Date(Engage)]&lt;EDATE($Q54,1))*
  Data[Estimated Incentive Amount(Engage)]
)+SUMPRODUCT(
  (Data[Track]=AC$36)*
  (Data[Earned?]=TRUE)*
  (Data[Stage Completion Date(Adopt)]&gt;=$Q54)*
  (Data[Stage Completion Date(Adopt)]&lt;EDATE($Q54,1))*
  Data[Estimated Incentive Amount(Adopt)]
)</f>
        <v>0</v>
      </c>
      <c r="AD54" s="72" cm="1">
        <f t="array" aca="1" ref="AD54" ca="1">SUM(_xlfn._xlws.FILTER($R54:$AC54, ISNUMBER(MATCH(_xlfn.ANCHORARRAY($R$36), _xlfn._xlws.FILTER(Hierarchy[[Offer]:[Offer]], Hierarchy[[Domain]:[Domain]]=AD$36), 0)), 0))</f>
        <v>0</v>
      </c>
      <c r="AE54" s="72" cm="1">
        <f t="array" aca="1" ref="AE54" ca="1">SUM(_xlfn._xlws.FILTER($R54:$AC54, ISNUMBER(MATCH(_xlfn.ANCHORARRAY($R$36), _xlfn._xlws.FILTER(Hierarchy[[Offer]:[Offer]], Hierarchy[[Domain]:[Domain]]=AE$36), 0)), 0))</f>
        <v>0</v>
      </c>
      <c r="AF54" s="72" cm="1">
        <f t="array" aca="1" ref="AF54" ca="1">SUM(_xlfn._xlws.FILTER($R54:$AC54, ISNUMBER(MATCH(_xlfn.ANCHORARRAY($R$36), _xlfn._xlws.FILTER(Hierarchy[[Offer]:[Offer]], Hierarchy[[Domain]:[Domain]]=AF$36), 0)), 0))</f>
        <v>0</v>
      </c>
      <c r="AG54" s="72" cm="1">
        <f t="array" aca="1" ref="AG54" ca="1">SUM(_xlfn._xlws.FILTER($R54:$AC54, ISNUMBER(MATCH(_xlfn.ANCHORARRAY($R$36), _xlfn._xlws.FILTER(Hierarchy[[Offer]:[Offer]], Hierarchy[[Domain]:[Domain]]=AG$36), 0)), 0))</f>
        <v>0</v>
      </c>
    </row>
    <row r="55" spans="4:33" x14ac:dyDescent="0.4">
      <c r="Q55" s="192">
        <f ca="1"/>
        <v>45962</v>
      </c>
      <c r="R55" s="52" cm="1">
        <f t="array" aca="1" ref="R55" ca="1">SUMPRODUCT(
  (Data[Track]=R$36)*
  (Data[Earned?]=TRUE)*
  (Data[Stage Completion Date(onboard)]&gt;=$Q55)*
  (Data[Stage Completion Date(onboard)]&lt;EDATE($Q55,1))*
  Data[Estimated Incentive Amount(Onboard)]
)+SUMPRODUCT(
  (Data[Track]=R$36)*
  (Data[Earned?]=TRUE)*
  (Data[Stage Completion Date(Use)]&gt;=$Q55)*
  (Data[Stage Completion Date(Use)]&lt;EDATE($Q55,1))*
  Data[Estimated Incentive Amount(Use)]
)+SUMPRODUCT(
  (Data[Track]=R$36)*
  (Data[Earned?]=TRUE)*
  (Data[Stage Completion Date(Engage)]&gt;=$Q55)*
  (Data[Stage Completion Date(Engage)]&lt;EDATE($Q55,1))*
  Data[Estimated Incentive Amount(Engage)]
)+SUMPRODUCT(
  (Data[Track]=R$36)*
  (Data[Earned?]=TRUE)*
  (Data[Stage Completion Date(Adopt)]&gt;=$Q55)*
  (Data[Stage Completion Date(Adopt)]&lt;EDATE($Q55,1))*
  Data[Estimated Incentive Amount(Adopt)]
)</f>
        <v>0</v>
      </c>
      <c r="S55" s="52" cm="1">
        <f t="array" aca="1" ref="S55" ca="1">SUMPRODUCT(
  (Data[Track]=S$36)*
  (Data[Earned?]=TRUE)*
  (Data[Stage Completion Date(onboard)]&gt;=$Q55)*
  (Data[Stage Completion Date(onboard)]&lt;EDATE($Q55,1))*
  Data[Estimated Incentive Amount(Onboard)]
)+SUMPRODUCT(
  (Data[Track]=S$36)*
  (Data[Earned?]=TRUE)*
  (Data[Stage Completion Date(Use)]&gt;=$Q55)*
  (Data[Stage Completion Date(Use)]&lt;EDATE($Q55,1))*
  Data[Estimated Incentive Amount(Use)]
)+SUMPRODUCT(
  (Data[Track]=S$36)*
  (Data[Earned?]=TRUE)*
  (Data[Stage Completion Date(Engage)]&gt;=$Q55)*
  (Data[Stage Completion Date(Engage)]&lt;EDATE($Q55,1))*
  Data[Estimated Incentive Amount(Engage)]
)+SUMPRODUCT(
  (Data[Track]=S$36)*
  (Data[Earned?]=TRUE)*
  (Data[Stage Completion Date(Adopt)]&gt;=$Q55)*
  (Data[Stage Completion Date(Adopt)]&lt;EDATE($Q55,1))*
  Data[Estimated Incentive Amount(Adopt)]
)</f>
        <v>0</v>
      </c>
      <c r="T55" s="52" cm="1">
        <f t="array" aca="1" ref="T55" ca="1">SUMPRODUCT(
  (Data[Track]=T$36)*
  (Data[Earned?]=TRUE)*
  (Data[Stage Completion Date(onboard)]&gt;=$Q55)*
  (Data[Stage Completion Date(onboard)]&lt;EDATE($Q55,1))*
  Data[Estimated Incentive Amount(Onboard)]
)+SUMPRODUCT(
  (Data[Track]=T$36)*
  (Data[Earned?]=TRUE)*
  (Data[Stage Completion Date(Use)]&gt;=$Q55)*
  (Data[Stage Completion Date(Use)]&lt;EDATE($Q55,1))*
  Data[Estimated Incentive Amount(Use)]
)+SUMPRODUCT(
  (Data[Track]=T$36)*
  (Data[Earned?]=TRUE)*
  (Data[Stage Completion Date(Engage)]&gt;=$Q55)*
  (Data[Stage Completion Date(Engage)]&lt;EDATE($Q55,1))*
  Data[Estimated Incentive Amount(Engage)]
)+SUMPRODUCT(
  (Data[Track]=T$36)*
  (Data[Earned?]=TRUE)*
  (Data[Stage Completion Date(Adopt)]&gt;=$Q55)*
  (Data[Stage Completion Date(Adopt)]&lt;EDATE($Q55,1))*
  Data[Estimated Incentive Amount(Adopt)]
)</f>
        <v>0</v>
      </c>
      <c r="U55" s="52" cm="1">
        <f t="array" aca="1" ref="U55" ca="1">SUMPRODUCT(
  (Data[Track]=U$36)*
  (Data[Earned?]=TRUE)*
  (Data[Stage Completion Date(onboard)]&gt;=$Q55)*
  (Data[Stage Completion Date(onboard)]&lt;EDATE($Q55,1))*
  Data[Estimated Incentive Amount(Onboard)]
)+SUMPRODUCT(
  (Data[Track]=U$36)*
  (Data[Earned?]=TRUE)*
  (Data[Stage Completion Date(Use)]&gt;=$Q55)*
  (Data[Stage Completion Date(Use)]&lt;EDATE($Q55,1))*
  Data[Estimated Incentive Amount(Use)]
)+SUMPRODUCT(
  (Data[Track]=U$36)*
  (Data[Earned?]=TRUE)*
  (Data[Stage Completion Date(Engage)]&gt;=$Q55)*
  (Data[Stage Completion Date(Engage)]&lt;EDATE($Q55,1))*
  Data[Estimated Incentive Amount(Engage)]
)+SUMPRODUCT(
  (Data[Track]=U$36)*
  (Data[Earned?]=TRUE)*
  (Data[Stage Completion Date(Adopt)]&gt;=$Q55)*
  (Data[Stage Completion Date(Adopt)]&lt;EDATE($Q55,1))*
  Data[Estimated Incentive Amount(Adopt)]
)</f>
        <v>0</v>
      </c>
      <c r="V55" s="52" cm="1">
        <f t="array" aca="1" ref="V55" ca="1">SUMPRODUCT(
  (Data[Track]=V$36)*
  (Data[Earned?]=TRUE)*
  (Data[Stage Completion Date(onboard)]&gt;=$Q55)*
  (Data[Stage Completion Date(onboard)]&lt;EDATE($Q55,1))*
  Data[Estimated Incentive Amount(Onboard)]
)+SUMPRODUCT(
  (Data[Track]=V$36)*
  (Data[Earned?]=TRUE)*
  (Data[Stage Completion Date(Use)]&gt;=$Q55)*
  (Data[Stage Completion Date(Use)]&lt;EDATE($Q55,1))*
  Data[Estimated Incentive Amount(Use)]
)+SUMPRODUCT(
  (Data[Track]=V$36)*
  (Data[Earned?]=TRUE)*
  (Data[Stage Completion Date(Engage)]&gt;=$Q55)*
  (Data[Stage Completion Date(Engage)]&lt;EDATE($Q55,1))*
  Data[Estimated Incentive Amount(Engage)]
)+SUMPRODUCT(
  (Data[Track]=V$36)*
  (Data[Earned?]=TRUE)*
  (Data[Stage Completion Date(Adopt)]&gt;=$Q55)*
  (Data[Stage Completion Date(Adopt)]&lt;EDATE($Q55,1))*
  Data[Estimated Incentive Amount(Adopt)]
)</f>
        <v>0</v>
      </c>
      <c r="W55" s="52" cm="1">
        <f t="array" aca="1" ref="W55" ca="1">SUMPRODUCT(
  (Data[Track]=W$36)*
  (Data[Earned?]=TRUE)*
  (Data[Stage Completion Date(onboard)]&gt;=$Q55)*
  (Data[Stage Completion Date(onboard)]&lt;EDATE($Q55,1))*
  Data[Estimated Incentive Amount(Onboard)]
)+SUMPRODUCT(
  (Data[Track]=W$36)*
  (Data[Earned?]=TRUE)*
  (Data[Stage Completion Date(Use)]&gt;=$Q55)*
  (Data[Stage Completion Date(Use)]&lt;EDATE($Q55,1))*
  Data[Estimated Incentive Amount(Use)]
)+SUMPRODUCT(
  (Data[Track]=W$36)*
  (Data[Earned?]=TRUE)*
  (Data[Stage Completion Date(Engage)]&gt;=$Q55)*
  (Data[Stage Completion Date(Engage)]&lt;EDATE($Q55,1))*
  Data[Estimated Incentive Amount(Engage)]
)+SUMPRODUCT(
  (Data[Track]=W$36)*
  (Data[Earned?]=TRUE)*
  (Data[Stage Completion Date(Adopt)]&gt;=$Q55)*
  (Data[Stage Completion Date(Adopt)]&lt;EDATE($Q55,1))*
  Data[Estimated Incentive Amount(Adopt)]
)</f>
        <v>0</v>
      </c>
      <c r="X55" s="52" cm="1">
        <f t="array" aca="1" ref="X55" ca="1">SUMPRODUCT(
  (Data[Track]=X$36)*
  (Data[Earned?]=TRUE)*
  (Data[Stage Completion Date(onboard)]&gt;=$Q55)*
  (Data[Stage Completion Date(onboard)]&lt;EDATE($Q55,1))*
  Data[Estimated Incentive Amount(Onboard)]
)+SUMPRODUCT(
  (Data[Track]=X$36)*
  (Data[Earned?]=TRUE)*
  (Data[Stage Completion Date(Use)]&gt;=$Q55)*
  (Data[Stage Completion Date(Use)]&lt;EDATE($Q55,1))*
  Data[Estimated Incentive Amount(Use)]
)+SUMPRODUCT(
  (Data[Track]=X$36)*
  (Data[Earned?]=TRUE)*
  (Data[Stage Completion Date(Engage)]&gt;=$Q55)*
  (Data[Stage Completion Date(Engage)]&lt;EDATE($Q55,1))*
  Data[Estimated Incentive Amount(Engage)]
)+SUMPRODUCT(
  (Data[Track]=X$36)*
  (Data[Earned?]=TRUE)*
  (Data[Stage Completion Date(Adopt)]&gt;=$Q55)*
  (Data[Stage Completion Date(Adopt)]&lt;EDATE($Q55,1))*
  Data[Estimated Incentive Amount(Adopt)]
)</f>
        <v>0</v>
      </c>
      <c r="Y55" s="52" cm="1">
        <f t="array" aca="1" ref="Y55" ca="1">SUMPRODUCT(
  (Data[Track]=Y$36)*
  (Data[Earned?]=TRUE)*
  (Data[Stage Completion Date(onboard)]&gt;=$Q55)*
  (Data[Stage Completion Date(onboard)]&lt;EDATE($Q55,1))*
  Data[Estimated Incentive Amount(Onboard)]
)+SUMPRODUCT(
  (Data[Track]=Y$36)*
  (Data[Earned?]=TRUE)*
  (Data[Stage Completion Date(Use)]&gt;=$Q55)*
  (Data[Stage Completion Date(Use)]&lt;EDATE($Q55,1))*
  Data[Estimated Incentive Amount(Use)]
)+SUMPRODUCT(
  (Data[Track]=Y$36)*
  (Data[Earned?]=TRUE)*
  (Data[Stage Completion Date(Engage)]&gt;=$Q55)*
  (Data[Stage Completion Date(Engage)]&lt;EDATE($Q55,1))*
  Data[Estimated Incentive Amount(Engage)]
)+SUMPRODUCT(
  (Data[Track]=Y$36)*
  (Data[Earned?]=TRUE)*
  (Data[Stage Completion Date(Adopt)]&gt;=$Q55)*
  (Data[Stage Completion Date(Adopt)]&lt;EDATE($Q55,1))*
  Data[Estimated Incentive Amount(Adopt)]
)</f>
        <v>0</v>
      </c>
      <c r="Z55" s="52" cm="1">
        <f t="array" aca="1" ref="Z55" ca="1">SUMPRODUCT(
  (Data[Track]=Z$36)*
  (Data[Earned?]=TRUE)*
  (Data[Stage Completion Date(onboard)]&gt;=$Q55)*
  (Data[Stage Completion Date(onboard)]&lt;EDATE($Q55,1))*
  Data[Estimated Incentive Amount(Onboard)]
)+SUMPRODUCT(
  (Data[Track]=Z$36)*
  (Data[Earned?]=TRUE)*
  (Data[Stage Completion Date(Use)]&gt;=$Q55)*
  (Data[Stage Completion Date(Use)]&lt;EDATE($Q55,1))*
  Data[Estimated Incentive Amount(Use)]
)+SUMPRODUCT(
  (Data[Track]=Z$36)*
  (Data[Earned?]=TRUE)*
  (Data[Stage Completion Date(Engage)]&gt;=$Q55)*
  (Data[Stage Completion Date(Engage)]&lt;EDATE($Q55,1))*
  Data[Estimated Incentive Amount(Engage)]
)+SUMPRODUCT(
  (Data[Track]=Z$36)*
  (Data[Earned?]=TRUE)*
  (Data[Stage Completion Date(Adopt)]&gt;=$Q55)*
  (Data[Stage Completion Date(Adopt)]&lt;EDATE($Q55,1))*
  Data[Estimated Incentive Amount(Adopt)]
)</f>
        <v>0</v>
      </c>
      <c r="AA55" s="52" cm="1">
        <f t="array" aca="1" ref="AA55" ca="1">SUMPRODUCT(
  (Data[Track]=AA$36)*
  (Data[Earned?]=TRUE)*
  (Data[Stage Completion Date(onboard)]&gt;=$Q55)*
  (Data[Stage Completion Date(onboard)]&lt;EDATE($Q55,1))*
  Data[Estimated Incentive Amount(Onboard)]
)+SUMPRODUCT(
  (Data[Track]=AA$36)*
  (Data[Earned?]=TRUE)*
  (Data[Stage Completion Date(Use)]&gt;=$Q55)*
  (Data[Stage Completion Date(Use)]&lt;EDATE($Q55,1))*
  Data[Estimated Incentive Amount(Use)]
)+SUMPRODUCT(
  (Data[Track]=AA$36)*
  (Data[Earned?]=TRUE)*
  (Data[Stage Completion Date(Engage)]&gt;=$Q55)*
  (Data[Stage Completion Date(Engage)]&lt;EDATE($Q55,1))*
  Data[Estimated Incentive Amount(Engage)]
)+SUMPRODUCT(
  (Data[Track]=AA$36)*
  (Data[Earned?]=TRUE)*
  (Data[Stage Completion Date(Adopt)]&gt;=$Q55)*
  (Data[Stage Completion Date(Adopt)]&lt;EDATE($Q55,1))*
  Data[Estimated Incentive Amount(Adopt)]
)</f>
        <v>0</v>
      </c>
      <c r="AB55" s="52" cm="1">
        <f t="array" aca="1" ref="AB55" ca="1">SUMPRODUCT(
  (Data[Track]=AB$36)*
  (Data[Earned?]=TRUE)*
  (Data[Stage Completion Date(onboard)]&gt;=$Q55)*
  (Data[Stage Completion Date(onboard)]&lt;EDATE($Q55,1))*
  Data[Estimated Incentive Amount(Onboard)]
)+SUMPRODUCT(
  (Data[Track]=AB$36)*
  (Data[Earned?]=TRUE)*
  (Data[Stage Completion Date(Use)]&gt;=$Q55)*
  (Data[Stage Completion Date(Use)]&lt;EDATE($Q55,1))*
  Data[Estimated Incentive Amount(Use)]
)+SUMPRODUCT(
  (Data[Track]=AB$36)*
  (Data[Earned?]=TRUE)*
  (Data[Stage Completion Date(Engage)]&gt;=$Q55)*
  (Data[Stage Completion Date(Engage)]&lt;EDATE($Q55,1))*
  Data[Estimated Incentive Amount(Engage)]
)+SUMPRODUCT(
  (Data[Track]=AB$36)*
  (Data[Earned?]=TRUE)*
  (Data[Stage Completion Date(Adopt)]&gt;=$Q55)*
  (Data[Stage Completion Date(Adopt)]&lt;EDATE($Q55,1))*
  Data[Estimated Incentive Amount(Adopt)]
)</f>
        <v>0</v>
      </c>
      <c r="AC55" s="52" cm="1">
        <f t="array" aca="1" ref="AC55" ca="1">SUMPRODUCT(
  (Data[Track]=AC$36)*
  (Data[Earned?]=TRUE)*
  (Data[Stage Completion Date(onboard)]&gt;=$Q55)*
  (Data[Stage Completion Date(onboard)]&lt;EDATE($Q55,1))*
  Data[Estimated Incentive Amount(Onboard)]
)+SUMPRODUCT(
  (Data[Track]=AC$36)*
  (Data[Earned?]=TRUE)*
  (Data[Stage Completion Date(Use)]&gt;=$Q55)*
  (Data[Stage Completion Date(Use)]&lt;EDATE($Q55,1))*
  Data[Estimated Incentive Amount(Use)]
)+SUMPRODUCT(
  (Data[Track]=AC$36)*
  (Data[Earned?]=TRUE)*
  (Data[Stage Completion Date(Engage)]&gt;=$Q55)*
  (Data[Stage Completion Date(Engage)]&lt;EDATE($Q55,1))*
  Data[Estimated Incentive Amount(Engage)]
)+SUMPRODUCT(
  (Data[Track]=AC$36)*
  (Data[Earned?]=TRUE)*
  (Data[Stage Completion Date(Adopt)]&gt;=$Q55)*
  (Data[Stage Completion Date(Adopt)]&lt;EDATE($Q55,1))*
  Data[Estimated Incentive Amount(Adopt)]
)</f>
        <v>0</v>
      </c>
      <c r="AD55" s="72" cm="1">
        <f t="array" aca="1" ref="AD55" ca="1">SUM(_xlfn._xlws.FILTER($R55:$AC55, ISNUMBER(MATCH(_xlfn.ANCHORARRAY($R$36), _xlfn._xlws.FILTER(Hierarchy[[Offer]:[Offer]], Hierarchy[[Domain]:[Domain]]=AD$36), 0)), 0))</f>
        <v>0</v>
      </c>
      <c r="AE55" s="72" cm="1">
        <f t="array" aca="1" ref="AE55" ca="1">SUM(_xlfn._xlws.FILTER($R55:$AC55, ISNUMBER(MATCH(_xlfn.ANCHORARRAY($R$36), _xlfn._xlws.FILTER(Hierarchy[[Offer]:[Offer]], Hierarchy[[Domain]:[Domain]]=AE$36), 0)), 0))</f>
        <v>0</v>
      </c>
      <c r="AF55" s="72" cm="1">
        <f t="array" aca="1" ref="AF55" ca="1">SUM(_xlfn._xlws.FILTER($R55:$AC55, ISNUMBER(MATCH(_xlfn.ANCHORARRAY($R$36), _xlfn._xlws.FILTER(Hierarchy[[Offer]:[Offer]], Hierarchy[[Domain]:[Domain]]=AF$36), 0)), 0))</f>
        <v>0</v>
      </c>
      <c r="AG55" s="72" cm="1">
        <f t="array" aca="1" ref="AG55" ca="1">SUM(_xlfn._xlws.FILTER($R55:$AC55, ISNUMBER(MATCH(_xlfn.ANCHORARRAY($R$36), _xlfn._xlws.FILTER(Hierarchy[[Offer]:[Offer]], Hierarchy[[Domain]:[Domain]]=AG$36), 0)), 0))</f>
        <v>0</v>
      </c>
    </row>
    <row r="56" spans="4:33" x14ac:dyDescent="0.4">
      <c r="Q56" s="192">
        <f ca="1"/>
        <v>45931</v>
      </c>
      <c r="R56" s="52" cm="1">
        <f t="array" aca="1" ref="R56" ca="1">SUMPRODUCT(
  (Data[Track]=R$36)*
  (Data[Earned?]=TRUE)*
  (Data[Stage Completion Date(onboard)]&gt;=$Q56)*
  (Data[Stage Completion Date(onboard)]&lt;EDATE($Q56,1))*
  Data[Estimated Incentive Amount(Onboard)]
)+SUMPRODUCT(
  (Data[Track]=R$36)*
  (Data[Earned?]=TRUE)*
  (Data[Stage Completion Date(Use)]&gt;=$Q56)*
  (Data[Stage Completion Date(Use)]&lt;EDATE($Q56,1))*
  Data[Estimated Incentive Amount(Use)]
)+SUMPRODUCT(
  (Data[Track]=R$36)*
  (Data[Earned?]=TRUE)*
  (Data[Stage Completion Date(Engage)]&gt;=$Q56)*
  (Data[Stage Completion Date(Engage)]&lt;EDATE($Q56,1))*
  Data[Estimated Incentive Amount(Engage)]
)+SUMPRODUCT(
  (Data[Track]=R$36)*
  (Data[Earned?]=TRUE)*
  (Data[Stage Completion Date(Adopt)]&gt;=$Q56)*
  (Data[Stage Completion Date(Adopt)]&lt;EDATE($Q56,1))*
  Data[Estimated Incentive Amount(Adopt)]
)</f>
        <v>0</v>
      </c>
      <c r="S56" s="52" cm="1">
        <f t="array" aca="1" ref="S56" ca="1">SUMPRODUCT(
  (Data[Track]=S$36)*
  (Data[Earned?]=TRUE)*
  (Data[Stage Completion Date(onboard)]&gt;=$Q56)*
  (Data[Stage Completion Date(onboard)]&lt;EDATE($Q56,1))*
  Data[Estimated Incentive Amount(Onboard)]
)+SUMPRODUCT(
  (Data[Track]=S$36)*
  (Data[Earned?]=TRUE)*
  (Data[Stage Completion Date(Use)]&gt;=$Q56)*
  (Data[Stage Completion Date(Use)]&lt;EDATE($Q56,1))*
  Data[Estimated Incentive Amount(Use)]
)+SUMPRODUCT(
  (Data[Track]=S$36)*
  (Data[Earned?]=TRUE)*
  (Data[Stage Completion Date(Engage)]&gt;=$Q56)*
  (Data[Stage Completion Date(Engage)]&lt;EDATE($Q56,1))*
  Data[Estimated Incentive Amount(Engage)]
)+SUMPRODUCT(
  (Data[Track]=S$36)*
  (Data[Earned?]=TRUE)*
  (Data[Stage Completion Date(Adopt)]&gt;=$Q56)*
  (Data[Stage Completion Date(Adopt)]&lt;EDATE($Q56,1))*
  Data[Estimated Incentive Amount(Adopt)]
)</f>
        <v>0</v>
      </c>
      <c r="T56" s="52" cm="1">
        <f t="array" aca="1" ref="T56" ca="1">SUMPRODUCT(
  (Data[Track]=T$36)*
  (Data[Earned?]=TRUE)*
  (Data[Stage Completion Date(onboard)]&gt;=$Q56)*
  (Data[Stage Completion Date(onboard)]&lt;EDATE($Q56,1))*
  Data[Estimated Incentive Amount(Onboard)]
)+SUMPRODUCT(
  (Data[Track]=T$36)*
  (Data[Earned?]=TRUE)*
  (Data[Stage Completion Date(Use)]&gt;=$Q56)*
  (Data[Stage Completion Date(Use)]&lt;EDATE($Q56,1))*
  Data[Estimated Incentive Amount(Use)]
)+SUMPRODUCT(
  (Data[Track]=T$36)*
  (Data[Earned?]=TRUE)*
  (Data[Stage Completion Date(Engage)]&gt;=$Q56)*
  (Data[Stage Completion Date(Engage)]&lt;EDATE($Q56,1))*
  Data[Estimated Incentive Amount(Engage)]
)+SUMPRODUCT(
  (Data[Track]=T$36)*
  (Data[Earned?]=TRUE)*
  (Data[Stage Completion Date(Adopt)]&gt;=$Q56)*
  (Data[Stage Completion Date(Adopt)]&lt;EDATE($Q56,1))*
  Data[Estimated Incentive Amount(Adopt)]
)</f>
        <v>0</v>
      </c>
      <c r="U56" s="52" cm="1">
        <f t="array" aca="1" ref="U56" ca="1">SUMPRODUCT(
  (Data[Track]=U$36)*
  (Data[Earned?]=TRUE)*
  (Data[Stage Completion Date(onboard)]&gt;=$Q56)*
  (Data[Stage Completion Date(onboard)]&lt;EDATE($Q56,1))*
  Data[Estimated Incentive Amount(Onboard)]
)+SUMPRODUCT(
  (Data[Track]=U$36)*
  (Data[Earned?]=TRUE)*
  (Data[Stage Completion Date(Use)]&gt;=$Q56)*
  (Data[Stage Completion Date(Use)]&lt;EDATE($Q56,1))*
  Data[Estimated Incentive Amount(Use)]
)+SUMPRODUCT(
  (Data[Track]=U$36)*
  (Data[Earned?]=TRUE)*
  (Data[Stage Completion Date(Engage)]&gt;=$Q56)*
  (Data[Stage Completion Date(Engage)]&lt;EDATE($Q56,1))*
  Data[Estimated Incentive Amount(Engage)]
)+SUMPRODUCT(
  (Data[Track]=U$36)*
  (Data[Earned?]=TRUE)*
  (Data[Stage Completion Date(Adopt)]&gt;=$Q56)*
  (Data[Stage Completion Date(Adopt)]&lt;EDATE($Q56,1))*
  Data[Estimated Incentive Amount(Adopt)]
)</f>
        <v>0</v>
      </c>
      <c r="V56" s="52" cm="1">
        <f t="array" aca="1" ref="V56" ca="1">SUMPRODUCT(
  (Data[Track]=V$36)*
  (Data[Earned?]=TRUE)*
  (Data[Stage Completion Date(onboard)]&gt;=$Q56)*
  (Data[Stage Completion Date(onboard)]&lt;EDATE($Q56,1))*
  Data[Estimated Incentive Amount(Onboard)]
)+SUMPRODUCT(
  (Data[Track]=V$36)*
  (Data[Earned?]=TRUE)*
  (Data[Stage Completion Date(Use)]&gt;=$Q56)*
  (Data[Stage Completion Date(Use)]&lt;EDATE($Q56,1))*
  Data[Estimated Incentive Amount(Use)]
)+SUMPRODUCT(
  (Data[Track]=V$36)*
  (Data[Earned?]=TRUE)*
  (Data[Stage Completion Date(Engage)]&gt;=$Q56)*
  (Data[Stage Completion Date(Engage)]&lt;EDATE($Q56,1))*
  Data[Estimated Incentive Amount(Engage)]
)+SUMPRODUCT(
  (Data[Track]=V$36)*
  (Data[Earned?]=TRUE)*
  (Data[Stage Completion Date(Adopt)]&gt;=$Q56)*
  (Data[Stage Completion Date(Adopt)]&lt;EDATE($Q56,1))*
  Data[Estimated Incentive Amount(Adopt)]
)</f>
        <v>0</v>
      </c>
      <c r="W56" s="52" cm="1">
        <f t="array" aca="1" ref="W56" ca="1">SUMPRODUCT(
  (Data[Track]=W$36)*
  (Data[Earned?]=TRUE)*
  (Data[Stage Completion Date(onboard)]&gt;=$Q56)*
  (Data[Stage Completion Date(onboard)]&lt;EDATE($Q56,1))*
  Data[Estimated Incentive Amount(Onboard)]
)+SUMPRODUCT(
  (Data[Track]=W$36)*
  (Data[Earned?]=TRUE)*
  (Data[Stage Completion Date(Use)]&gt;=$Q56)*
  (Data[Stage Completion Date(Use)]&lt;EDATE($Q56,1))*
  Data[Estimated Incentive Amount(Use)]
)+SUMPRODUCT(
  (Data[Track]=W$36)*
  (Data[Earned?]=TRUE)*
  (Data[Stage Completion Date(Engage)]&gt;=$Q56)*
  (Data[Stage Completion Date(Engage)]&lt;EDATE($Q56,1))*
  Data[Estimated Incentive Amount(Engage)]
)+SUMPRODUCT(
  (Data[Track]=W$36)*
  (Data[Earned?]=TRUE)*
  (Data[Stage Completion Date(Adopt)]&gt;=$Q56)*
  (Data[Stage Completion Date(Adopt)]&lt;EDATE($Q56,1))*
  Data[Estimated Incentive Amount(Adopt)]
)</f>
        <v>0</v>
      </c>
      <c r="X56" s="52" cm="1">
        <f t="array" aca="1" ref="X56" ca="1">SUMPRODUCT(
  (Data[Track]=X$36)*
  (Data[Earned?]=TRUE)*
  (Data[Stage Completion Date(onboard)]&gt;=$Q56)*
  (Data[Stage Completion Date(onboard)]&lt;EDATE($Q56,1))*
  Data[Estimated Incentive Amount(Onboard)]
)+SUMPRODUCT(
  (Data[Track]=X$36)*
  (Data[Earned?]=TRUE)*
  (Data[Stage Completion Date(Use)]&gt;=$Q56)*
  (Data[Stage Completion Date(Use)]&lt;EDATE($Q56,1))*
  Data[Estimated Incentive Amount(Use)]
)+SUMPRODUCT(
  (Data[Track]=X$36)*
  (Data[Earned?]=TRUE)*
  (Data[Stage Completion Date(Engage)]&gt;=$Q56)*
  (Data[Stage Completion Date(Engage)]&lt;EDATE($Q56,1))*
  Data[Estimated Incentive Amount(Engage)]
)+SUMPRODUCT(
  (Data[Track]=X$36)*
  (Data[Earned?]=TRUE)*
  (Data[Stage Completion Date(Adopt)]&gt;=$Q56)*
  (Data[Stage Completion Date(Adopt)]&lt;EDATE($Q56,1))*
  Data[Estimated Incentive Amount(Adopt)]
)</f>
        <v>0</v>
      </c>
      <c r="Y56" s="52" cm="1">
        <f t="array" aca="1" ref="Y56" ca="1">SUMPRODUCT(
  (Data[Track]=Y$36)*
  (Data[Earned?]=TRUE)*
  (Data[Stage Completion Date(onboard)]&gt;=$Q56)*
  (Data[Stage Completion Date(onboard)]&lt;EDATE($Q56,1))*
  Data[Estimated Incentive Amount(Onboard)]
)+SUMPRODUCT(
  (Data[Track]=Y$36)*
  (Data[Earned?]=TRUE)*
  (Data[Stage Completion Date(Use)]&gt;=$Q56)*
  (Data[Stage Completion Date(Use)]&lt;EDATE($Q56,1))*
  Data[Estimated Incentive Amount(Use)]
)+SUMPRODUCT(
  (Data[Track]=Y$36)*
  (Data[Earned?]=TRUE)*
  (Data[Stage Completion Date(Engage)]&gt;=$Q56)*
  (Data[Stage Completion Date(Engage)]&lt;EDATE($Q56,1))*
  Data[Estimated Incentive Amount(Engage)]
)+SUMPRODUCT(
  (Data[Track]=Y$36)*
  (Data[Earned?]=TRUE)*
  (Data[Stage Completion Date(Adopt)]&gt;=$Q56)*
  (Data[Stage Completion Date(Adopt)]&lt;EDATE($Q56,1))*
  Data[Estimated Incentive Amount(Adopt)]
)</f>
        <v>0</v>
      </c>
      <c r="Z56" s="52" cm="1">
        <f t="array" aca="1" ref="Z56" ca="1">SUMPRODUCT(
  (Data[Track]=Z$36)*
  (Data[Earned?]=TRUE)*
  (Data[Stage Completion Date(onboard)]&gt;=$Q56)*
  (Data[Stage Completion Date(onboard)]&lt;EDATE($Q56,1))*
  Data[Estimated Incentive Amount(Onboard)]
)+SUMPRODUCT(
  (Data[Track]=Z$36)*
  (Data[Earned?]=TRUE)*
  (Data[Stage Completion Date(Use)]&gt;=$Q56)*
  (Data[Stage Completion Date(Use)]&lt;EDATE($Q56,1))*
  Data[Estimated Incentive Amount(Use)]
)+SUMPRODUCT(
  (Data[Track]=Z$36)*
  (Data[Earned?]=TRUE)*
  (Data[Stage Completion Date(Engage)]&gt;=$Q56)*
  (Data[Stage Completion Date(Engage)]&lt;EDATE($Q56,1))*
  Data[Estimated Incentive Amount(Engage)]
)+SUMPRODUCT(
  (Data[Track]=Z$36)*
  (Data[Earned?]=TRUE)*
  (Data[Stage Completion Date(Adopt)]&gt;=$Q56)*
  (Data[Stage Completion Date(Adopt)]&lt;EDATE($Q56,1))*
  Data[Estimated Incentive Amount(Adopt)]
)</f>
        <v>0</v>
      </c>
      <c r="AA56" s="52" cm="1">
        <f t="array" aca="1" ref="AA56" ca="1">SUMPRODUCT(
  (Data[Track]=AA$36)*
  (Data[Earned?]=TRUE)*
  (Data[Stage Completion Date(onboard)]&gt;=$Q56)*
  (Data[Stage Completion Date(onboard)]&lt;EDATE($Q56,1))*
  Data[Estimated Incentive Amount(Onboard)]
)+SUMPRODUCT(
  (Data[Track]=AA$36)*
  (Data[Earned?]=TRUE)*
  (Data[Stage Completion Date(Use)]&gt;=$Q56)*
  (Data[Stage Completion Date(Use)]&lt;EDATE($Q56,1))*
  Data[Estimated Incentive Amount(Use)]
)+SUMPRODUCT(
  (Data[Track]=AA$36)*
  (Data[Earned?]=TRUE)*
  (Data[Stage Completion Date(Engage)]&gt;=$Q56)*
  (Data[Stage Completion Date(Engage)]&lt;EDATE($Q56,1))*
  Data[Estimated Incentive Amount(Engage)]
)+SUMPRODUCT(
  (Data[Track]=AA$36)*
  (Data[Earned?]=TRUE)*
  (Data[Stage Completion Date(Adopt)]&gt;=$Q56)*
  (Data[Stage Completion Date(Adopt)]&lt;EDATE($Q56,1))*
  Data[Estimated Incentive Amount(Adopt)]
)</f>
        <v>0</v>
      </c>
      <c r="AB56" s="52" cm="1">
        <f t="array" aca="1" ref="AB56" ca="1">SUMPRODUCT(
  (Data[Track]=AB$36)*
  (Data[Earned?]=TRUE)*
  (Data[Stage Completion Date(onboard)]&gt;=$Q56)*
  (Data[Stage Completion Date(onboard)]&lt;EDATE($Q56,1))*
  Data[Estimated Incentive Amount(Onboard)]
)+SUMPRODUCT(
  (Data[Track]=AB$36)*
  (Data[Earned?]=TRUE)*
  (Data[Stage Completion Date(Use)]&gt;=$Q56)*
  (Data[Stage Completion Date(Use)]&lt;EDATE($Q56,1))*
  Data[Estimated Incentive Amount(Use)]
)+SUMPRODUCT(
  (Data[Track]=AB$36)*
  (Data[Earned?]=TRUE)*
  (Data[Stage Completion Date(Engage)]&gt;=$Q56)*
  (Data[Stage Completion Date(Engage)]&lt;EDATE($Q56,1))*
  Data[Estimated Incentive Amount(Engage)]
)+SUMPRODUCT(
  (Data[Track]=AB$36)*
  (Data[Earned?]=TRUE)*
  (Data[Stage Completion Date(Adopt)]&gt;=$Q56)*
  (Data[Stage Completion Date(Adopt)]&lt;EDATE($Q56,1))*
  Data[Estimated Incentive Amount(Adopt)]
)</f>
        <v>0</v>
      </c>
      <c r="AC56" s="52" cm="1">
        <f t="array" aca="1" ref="AC56" ca="1">SUMPRODUCT(
  (Data[Track]=AC$36)*
  (Data[Earned?]=TRUE)*
  (Data[Stage Completion Date(onboard)]&gt;=$Q56)*
  (Data[Stage Completion Date(onboard)]&lt;EDATE($Q56,1))*
  Data[Estimated Incentive Amount(Onboard)]
)+SUMPRODUCT(
  (Data[Track]=AC$36)*
  (Data[Earned?]=TRUE)*
  (Data[Stage Completion Date(Use)]&gt;=$Q56)*
  (Data[Stage Completion Date(Use)]&lt;EDATE($Q56,1))*
  Data[Estimated Incentive Amount(Use)]
)+SUMPRODUCT(
  (Data[Track]=AC$36)*
  (Data[Earned?]=TRUE)*
  (Data[Stage Completion Date(Engage)]&gt;=$Q56)*
  (Data[Stage Completion Date(Engage)]&lt;EDATE($Q56,1))*
  Data[Estimated Incentive Amount(Engage)]
)+SUMPRODUCT(
  (Data[Track]=AC$36)*
  (Data[Earned?]=TRUE)*
  (Data[Stage Completion Date(Adopt)]&gt;=$Q56)*
  (Data[Stage Completion Date(Adopt)]&lt;EDATE($Q56,1))*
  Data[Estimated Incentive Amount(Adopt)]
)</f>
        <v>0</v>
      </c>
      <c r="AD56" s="72" cm="1">
        <f t="array" aca="1" ref="AD56" ca="1">SUM(_xlfn._xlws.FILTER($R56:$AC56, ISNUMBER(MATCH(_xlfn.ANCHORARRAY($R$36), _xlfn._xlws.FILTER(Hierarchy[[Offer]:[Offer]], Hierarchy[[Domain]:[Domain]]=AD$36), 0)), 0))</f>
        <v>0</v>
      </c>
      <c r="AE56" s="72" cm="1">
        <f t="array" aca="1" ref="AE56" ca="1">SUM(_xlfn._xlws.FILTER($R56:$AC56, ISNUMBER(MATCH(_xlfn.ANCHORARRAY($R$36), _xlfn._xlws.FILTER(Hierarchy[[Offer]:[Offer]], Hierarchy[[Domain]:[Domain]]=AE$36), 0)), 0))</f>
        <v>0</v>
      </c>
      <c r="AF56" s="72" cm="1">
        <f t="array" aca="1" ref="AF56" ca="1">SUM(_xlfn._xlws.FILTER($R56:$AC56, ISNUMBER(MATCH(_xlfn.ANCHORARRAY($R$36), _xlfn._xlws.FILTER(Hierarchy[[Offer]:[Offer]], Hierarchy[[Domain]:[Domain]]=AF$36), 0)), 0))</f>
        <v>0</v>
      </c>
      <c r="AG56" s="72" cm="1">
        <f t="array" aca="1" ref="AG56" ca="1">SUM(_xlfn._xlws.FILTER($R56:$AC56, ISNUMBER(MATCH(_xlfn.ANCHORARRAY($R$36), _xlfn._xlws.FILTER(Hierarchy[[Offer]:[Offer]], Hierarchy[[Domain]:[Domain]]=AG$36), 0)), 0))</f>
        <v>0</v>
      </c>
    </row>
    <row r="57" spans="4:33" x14ac:dyDescent="0.4">
      <c r="Q57" s="192">
        <f ca="1"/>
        <v>45901</v>
      </c>
      <c r="R57" s="52" cm="1">
        <f t="array" aca="1" ref="R57" ca="1">SUMPRODUCT(
  (Data[Track]=R$36)*
  (Data[Earned?]=TRUE)*
  (Data[Stage Completion Date(onboard)]&gt;=$Q57)*
  (Data[Stage Completion Date(onboard)]&lt;EDATE($Q57,1))*
  Data[Estimated Incentive Amount(Onboard)]
)+SUMPRODUCT(
  (Data[Track]=R$36)*
  (Data[Earned?]=TRUE)*
  (Data[Stage Completion Date(Use)]&gt;=$Q57)*
  (Data[Stage Completion Date(Use)]&lt;EDATE($Q57,1))*
  Data[Estimated Incentive Amount(Use)]
)+SUMPRODUCT(
  (Data[Track]=R$36)*
  (Data[Earned?]=TRUE)*
  (Data[Stage Completion Date(Engage)]&gt;=$Q57)*
  (Data[Stage Completion Date(Engage)]&lt;EDATE($Q57,1))*
  Data[Estimated Incentive Amount(Engage)]
)+SUMPRODUCT(
  (Data[Track]=R$36)*
  (Data[Earned?]=TRUE)*
  (Data[Stage Completion Date(Adopt)]&gt;=$Q57)*
  (Data[Stage Completion Date(Adopt)]&lt;EDATE($Q57,1))*
  Data[Estimated Incentive Amount(Adopt)]
)</f>
        <v>0</v>
      </c>
      <c r="S57" s="52" cm="1">
        <f t="array" aca="1" ref="S57" ca="1">SUMPRODUCT(
  (Data[Track]=S$36)*
  (Data[Earned?]=TRUE)*
  (Data[Stage Completion Date(onboard)]&gt;=$Q57)*
  (Data[Stage Completion Date(onboard)]&lt;EDATE($Q57,1))*
  Data[Estimated Incentive Amount(Onboard)]
)+SUMPRODUCT(
  (Data[Track]=S$36)*
  (Data[Earned?]=TRUE)*
  (Data[Stage Completion Date(Use)]&gt;=$Q57)*
  (Data[Stage Completion Date(Use)]&lt;EDATE($Q57,1))*
  Data[Estimated Incentive Amount(Use)]
)+SUMPRODUCT(
  (Data[Track]=S$36)*
  (Data[Earned?]=TRUE)*
  (Data[Stage Completion Date(Engage)]&gt;=$Q57)*
  (Data[Stage Completion Date(Engage)]&lt;EDATE($Q57,1))*
  Data[Estimated Incentive Amount(Engage)]
)+SUMPRODUCT(
  (Data[Track]=S$36)*
  (Data[Earned?]=TRUE)*
  (Data[Stage Completion Date(Adopt)]&gt;=$Q57)*
  (Data[Stage Completion Date(Adopt)]&lt;EDATE($Q57,1))*
  Data[Estimated Incentive Amount(Adopt)]
)</f>
        <v>0</v>
      </c>
      <c r="T57" s="52" cm="1">
        <f t="array" aca="1" ref="T57" ca="1">SUMPRODUCT(
  (Data[Track]=T$36)*
  (Data[Earned?]=TRUE)*
  (Data[Stage Completion Date(onboard)]&gt;=$Q57)*
  (Data[Stage Completion Date(onboard)]&lt;EDATE($Q57,1))*
  Data[Estimated Incentive Amount(Onboard)]
)+SUMPRODUCT(
  (Data[Track]=T$36)*
  (Data[Earned?]=TRUE)*
  (Data[Stage Completion Date(Use)]&gt;=$Q57)*
  (Data[Stage Completion Date(Use)]&lt;EDATE($Q57,1))*
  Data[Estimated Incentive Amount(Use)]
)+SUMPRODUCT(
  (Data[Track]=T$36)*
  (Data[Earned?]=TRUE)*
  (Data[Stage Completion Date(Engage)]&gt;=$Q57)*
  (Data[Stage Completion Date(Engage)]&lt;EDATE($Q57,1))*
  Data[Estimated Incentive Amount(Engage)]
)+SUMPRODUCT(
  (Data[Track]=T$36)*
  (Data[Earned?]=TRUE)*
  (Data[Stage Completion Date(Adopt)]&gt;=$Q57)*
  (Data[Stage Completion Date(Adopt)]&lt;EDATE($Q57,1))*
  Data[Estimated Incentive Amount(Adopt)]
)</f>
        <v>0</v>
      </c>
      <c r="U57" s="52" cm="1">
        <f t="array" aca="1" ref="U57" ca="1">SUMPRODUCT(
  (Data[Track]=U$36)*
  (Data[Earned?]=TRUE)*
  (Data[Stage Completion Date(onboard)]&gt;=$Q57)*
  (Data[Stage Completion Date(onboard)]&lt;EDATE($Q57,1))*
  Data[Estimated Incentive Amount(Onboard)]
)+SUMPRODUCT(
  (Data[Track]=U$36)*
  (Data[Earned?]=TRUE)*
  (Data[Stage Completion Date(Use)]&gt;=$Q57)*
  (Data[Stage Completion Date(Use)]&lt;EDATE($Q57,1))*
  Data[Estimated Incentive Amount(Use)]
)+SUMPRODUCT(
  (Data[Track]=U$36)*
  (Data[Earned?]=TRUE)*
  (Data[Stage Completion Date(Engage)]&gt;=$Q57)*
  (Data[Stage Completion Date(Engage)]&lt;EDATE($Q57,1))*
  Data[Estimated Incentive Amount(Engage)]
)+SUMPRODUCT(
  (Data[Track]=U$36)*
  (Data[Earned?]=TRUE)*
  (Data[Stage Completion Date(Adopt)]&gt;=$Q57)*
  (Data[Stage Completion Date(Adopt)]&lt;EDATE($Q57,1))*
  Data[Estimated Incentive Amount(Adopt)]
)</f>
        <v>0</v>
      </c>
      <c r="V57" s="52" cm="1">
        <f t="array" aca="1" ref="V57" ca="1">SUMPRODUCT(
  (Data[Track]=V$36)*
  (Data[Earned?]=TRUE)*
  (Data[Stage Completion Date(onboard)]&gt;=$Q57)*
  (Data[Stage Completion Date(onboard)]&lt;EDATE($Q57,1))*
  Data[Estimated Incentive Amount(Onboard)]
)+SUMPRODUCT(
  (Data[Track]=V$36)*
  (Data[Earned?]=TRUE)*
  (Data[Stage Completion Date(Use)]&gt;=$Q57)*
  (Data[Stage Completion Date(Use)]&lt;EDATE($Q57,1))*
  Data[Estimated Incentive Amount(Use)]
)+SUMPRODUCT(
  (Data[Track]=V$36)*
  (Data[Earned?]=TRUE)*
  (Data[Stage Completion Date(Engage)]&gt;=$Q57)*
  (Data[Stage Completion Date(Engage)]&lt;EDATE($Q57,1))*
  Data[Estimated Incentive Amount(Engage)]
)+SUMPRODUCT(
  (Data[Track]=V$36)*
  (Data[Earned?]=TRUE)*
  (Data[Stage Completion Date(Adopt)]&gt;=$Q57)*
  (Data[Stage Completion Date(Adopt)]&lt;EDATE($Q57,1))*
  Data[Estimated Incentive Amount(Adopt)]
)</f>
        <v>0</v>
      </c>
      <c r="W57" s="52" cm="1">
        <f t="array" aca="1" ref="W57" ca="1">SUMPRODUCT(
  (Data[Track]=W$36)*
  (Data[Earned?]=TRUE)*
  (Data[Stage Completion Date(onboard)]&gt;=$Q57)*
  (Data[Stage Completion Date(onboard)]&lt;EDATE($Q57,1))*
  Data[Estimated Incentive Amount(Onboard)]
)+SUMPRODUCT(
  (Data[Track]=W$36)*
  (Data[Earned?]=TRUE)*
  (Data[Stage Completion Date(Use)]&gt;=$Q57)*
  (Data[Stage Completion Date(Use)]&lt;EDATE($Q57,1))*
  Data[Estimated Incentive Amount(Use)]
)+SUMPRODUCT(
  (Data[Track]=W$36)*
  (Data[Earned?]=TRUE)*
  (Data[Stage Completion Date(Engage)]&gt;=$Q57)*
  (Data[Stage Completion Date(Engage)]&lt;EDATE($Q57,1))*
  Data[Estimated Incentive Amount(Engage)]
)+SUMPRODUCT(
  (Data[Track]=W$36)*
  (Data[Earned?]=TRUE)*
  (Data[Stage Completion Date(Adopt)]&gt;=$Q57)*
  (Data[Stage Completion Date(Adopt)]&lt;EDATE($Q57,1))*
  Data[Estimated Incentive Amount(Adopt)]
)</f>
        <v>0</v>
      </c>
      <c r="X57" s="52" cm="1">
        <f t="array" aca="1" ref="X57" ca="1">SUMPRODUCT(
  (Data[Track]=X$36)*
  (Data[Earned?]=TRUE)*
  (Data[Stage Completion Date(onboard)]&gt;=$Q57)*
  (Data[Stage Completion Date(onboard)]&lt;EDATE($Q57,1))*
  Data[Estimated Incentive Amount(Onboard)]
)+SUMPRODUCT(
  (Data[Track]=X$36)*
  (Data[Earned?]=TRUE)*
  (Data[Stage Completion Date(Use)]&gt;=$Q57)*
  (Data[Stage Completion Date(Use)]&lt;EDATE($Q57,1))*
  Data[Estimated Incentive Amount(Use)]
)+SUMPRODUCT(
  (Data[Track]=X$36)*
  (Data[Earned?]=TRUE)*
  (Data[Stage Completion Date(Engage)]&gt;=$Q57)*
  (Data[Stage Completion Date(Engage)]&lt;EDATE($Q57,1))*
  Data[Estimated Incentive Amount(Engage)]
)+SUMPRODUCT(
  (Data[Track]=X$36)*
  (Data[Earned?]=TRUE)*
  (Data[Stage Completion Date(Adopt)]&gt;=$Q57)*
  (Data[Stage Completion Date(Adopt)]&lt;EDATE($Q57,1))*
  Data[Estimated Incentive Amount(Adopt)]
)</f>
        <v>0</v>
      </c>
      <c r="Y57" s="52" cm="1">
        <f t="array" aca="1" ref="Y57" ca="1">SUMPRODUCT(
  (Data[Track]=Y$36)*
  (Data[Earned?]=TRUE)*
  (Data[Stage Completion Date(onboard)]&gt;=$Q57)*
  (Data[Stage Completion Date(onboard)]&lt;EDATE($Q57,1))*
  Data[Estimated Incentive Amount(Onboard)]
)+SUMPRODUCT(
  (Data[Track]=Y$36)*
  (Data[Earned?]=TRUE)*
  (Data[Stage Completion Date(Use)]&gt;=$Q57)*
  (Data[Stage Completion Date(Use)]&lt;EDATE($Q57,1))*
  Data[Estimated Incentive Amount(Use)]
)+SUMPRODUCT(
  (Data[Track]=Y$36)*
  (Data[Earned?]=TRUE)*
  (Data[Stage Completion Date(Engage)]&gt;=$Q57)*
  (Data[Stage Completion Date(Engage)]&lt;EDATE($Q57,1))*
  Data[Estimated Incentive Amount(Engage)]
)+SUMPRODUCT(
  (Data[Track]=Y$36)*
  (Data[Earned?]=TRUE)*
  (Data[Stage Completion Date(Adopt)]&gt;=$Q57)*
  (Data[Stage Completion Date(Adopt)]&lt;EDATE($Q57,1))*
  Data[Estimated Incentive Amount(Adopt)]
)</f>
        <v>0</v>
      </c>
      <c r="Z57" s="52" cm="1">
        <f t="array" aca="1" ref="Z57" ca="1">SUMPRODUCT(
  (Data[Track]=Z$36)*
  (Data[Earned?]=TRUE)*
  (Data[Stage Completion Date(onboard)]&gt;=$Q57)*
  (Data[Stage Completion Date(onboard)]&lt;EDATE($Q57,1))*
  Data[Estimated Incentive Amount(Onboard)]
)+SUMPRODUCT(
  (Data[Track]=Z$36)*
  (Data[Earned?]=TRUE)*
  (Data[Stage Completion Date(Use)]&gt;=$Q57)*
  (Data[Stage Completion Date(Use)]&lt;EDATE($Q57,1))*
  Data[Estimated Incentive Amount(Use)]
)+SUMPRODUCT(
  (Data[Track]=Z$36)*
  (Data[Earned?]=TRUE)*
  (Data[Stage Completion Date(Engage)]&gt;=$Q57)*
  (Data[Stage Completion Date(Engage)]&lt;EDATE($Q57,1))*
  Data[Estimated Incentive Amount(Engage)]
)+SUMPRODUCT(
  (Data[Track]=Z$36)*
  (Data[Earned?]=TRUE)*
  (Data[Stage Completion Date(Adopt)]&gt;=$Q57)*
  (Data[Stage Completion Date(Adopt)]&lt;EDATE($Q57,1))*
  Data[Estimated Incentive Amount(Adopt)]
)</f>
        <v>0</v>
      </c>
      <c r="AA57" s="52" cm="1">
        <f t="array" aca="1" ref="AA57" ca="1">SUMPRODUCT(
  (Data[Track]=AA$36)*
  (Data[Earned?]=TRUE)*
  (Data[Stage Completion Date(onboard)]&gt;=$Q57)*
  (Data[Stage Completion Date(onboard)]&lt;EDATE($Q57,1))*
  Data[Estimated Incentive Amount(Onboard)]
)+SUMPRODUCT(
  (Data[Track]=AA$36)*
  (Data[Earned?]=TRUE)*
  (Data[Stage Completion Date(Use)]&gt;=$Q57)*
  (Data[Stage Completion Date(Use)]&lt;EDATE($Q57,1))*
  Data[Estimated Incentive Amount(Use)]
)+SUMPRODUCT(
  (Data[Track]=AA$36)*
  (Data[Earned?]=TRUE)*
  (Data[Stage Completion Date(Engage)]&gt;=$Q57)*
  (Data[Stage Completion Date(Engage)]&lt;EDATE($Q57,1))*
  Data[Estimated Incentive Amount(Engage)]
)+SUMPRODUCT(
  (Data[Track]=AA$36)*
  (Data[Earned?]=TRUE)*
  (Data[Stage Completion Date(Adopt)]&gt;=$Q57)*
  (Data[Stage Completion Date(Adopt)]&lt;EDATE($Q57,1))*
  Data[Estimated Incentive Amount(Adopt)]
)</f>
        <v>0</v>
      </c>
      <c r="AB57" s="52" cm="1">
        <f t="array" aca="1" ref="AB57" ca="1">SUMPRODUCT(
  (Data[Track]=AB$36)*
  (Data[Earned?]=TRUE)*
  (Data[Stage Completion Date(onboard)]&gt;=$Q57)*
  (Data[Stage Completion Date(onboard)]&lt;EDATE($Q57,1))*
  Data[Estimated Incentive Amount(Onboard)]
)+SUMPRODUCT(
  (Data[Track]=AB$36)*
  (Data[Earned?]=TRUE)*
  (Data[Stage Completion Date(Use)]&gt;=$Q57)*
  (Data[Stage Completion Date(Use)]&lt;EDATE($Q57,1))*
  Data[Estimated Incentive Amount(Use)]
)+SUMPRODUCT(
  (Data[Track]=AB$36)*
  (Data[Earned?]=TRUE)*
  (Data[Stage Completion Date(Engage)]&gt;=$Q57)*
  (Data[Stage Completion Date(Engage)]&lt;EDATE($Q57,1))*
  Data[Estimated Incentive Amount(Engage)]
)+SUMPRODUCT(
  (Data[Track]=AB$36)*
  (Data[Earned?]=TRUE)*
  (Data[Stage Completion Date(Adopt)]&gt;=$Q57)*
  (Data[Stage Completion Date(Adopt)]&lt;EDATE($Q57,1))*
  Data[Estimated Incentive Amount(Adopt)]
)</f>
        <v>0</v>
      </c>
      <c r="AC57" s="52" cm="1">
        <f t="array" aca="1" ref="AC57" ca="1">SUMPRODUCT(
  (Data[Track]=AC$36)*
  (Data[Earned?]=TRUE)*
  (Data[Stage Completion Date(onboard)]&gt;=$Q57)*
  (Data[Stage Completion Date(onboard)]&lt;EDATE($Q57,1))*
  Data[Estimated Incentive Amount(Onboard)]
)+SUMPRODUCT(
  (Data[Track]=AC$36)*
  (Data[Earned?]=TRUE)*
  (Data[Stage Completion Date(Use)]&gt;=$Q57)*
  (Data[Stage Completion Date(Use)]&lt;EDATE($Q57,1))*
  Data[Estimated Incentive Amount(Use)]
)+SUMPRODUCT(
  (Data[Track]=AC$36)*
  (Data[Earned?]=TRUE)*
  (Data[Stage Completion Date(Engage)]&gt;=$Q57)*
  (Data[Stage Completion Date(Engage)]&lt;EDATE($Q57,1))*
  Data[Estimated Incentive Amount(Engage)]
)+SUMPRODUCT(
  (Data[Track]=AC$36)*
  (Data[Earned?]=TRUE)*
  (Data[Stage Completion Date(Adopt)]&gt;=$Q57)*
  (Data[Stage Completion Date(Adopt)]&lt;EDATE($Q57,1))*
  Data[Estimated Incentive Amount(Adopt)]
)</f>
        <v>0</v>
      </c>
      <c r="AD57" s="72" cm="1">
        <f t="array" aca="1" ref="AD57" ca="1">SUM(_xlfn._xlws.FILTER($R57:$AC57, ISNUMBER(MATCH(_xlfn.ANCHORARRAY($R$36), _xlfn._xlws.FILTER(Hierarchy[[Offer]:[Offer]], Hierarchy[[Domain]:[Domain]]=AD$36), 0)), 0))</f>
        <v>0</v>
      </c>
      <c r="AE57" s="72" cm="1">
        <f t="array" aca="1" ref="AE57" ca="1">SUM(_xlfn._xlws.FILTER($R57:$AC57, ISNUMBER(MATCH(_xlfn.ANCHORARRAY($R$36), _xlfn._xlws.FILTER(Hierarchy[[Offer]:[Offer]], Hierarchy[[Domain]:[Domain]]=AE$36), 0)), 0))</f>
        <v>0</v>
      </c>
      <c r="AF57" s="72" cm="1">
        <f t="array" aca="1" ref="AF57" ca="1">SUM(_xlfn._xlws.FILTER($R57:$AC57, ISNUMBER(MATCH(_xlfn.ANCHORARRAY($R$36), _xlfn._xlws.FILTER(Hierarchy[[Offer]:[Offer]], Hierarchy[[Domain]:[Domain]]=AF$36), 0)), 0))</f>
        <v>0</v>
      </c>
      <c r="AG57" s="72" cm="1">
        <f t="array" aca="1" ref="AG57" ca="1">SUM(_xlfn._xlws.FILTER($R57:$AC57, ISNUMBER(MATCH(_xlfn.ANCHORARRAY($R$36), _xlfn._xlws.FILTER(Hierarchy[[Offer]:[Offer]], Hierarchy[[Domain]:[Domain]]=AG$36), 0)), 0))</f>
        <v>0</v>
      </c>
    </row>
    <row r="58" spans="4:33" x14ac:dyDescent="0.4">
      <c r="Q58" s="192">
        <f ca="1"/>
        <v>45870</v>
      </c>
      <c r="R58" s="52" cm="1">
        <f t="array" aca="1" ref="R58" ca="1">SUMPRODUCT(
  (Data[Track]=R$36)*
  (Data[Earned?]=TRUE)*
  (Data[Stage Completion Date(onboard)]&gt;=$Q58)*
  (Data[Stage Completion Date(onboard)]&lt;EDATE($Q58,1))*
  Data[Estimated Incentive Amount(Onboard)]
)+SUMPRODUCT(
  (Data[Track]=R$36)*
  (Data[Earned?]=TRUE)*
  (Data[Stage Completion Date(Use)]&gt;=$Q58)*
  (Data[Stage Completion Date(Use)]&lt;EDATE($Q58,1))*
  Data[Estimated Incentive Amount(Use)]
)+SUMPRODUCT(
  (Data[Track]=R$36)*
  (Data[Earned?]=TRUE)*
  (Data[Stage Completion Date(Engage)]&gt;=$Q58)*
  (Data[Stage Completion Date(Engage)]&lt;EDATE($Q58,1))*
  Data[Estimated Incentive Amount(Engage)]
)+SUMPRODUCT(
  (Data[Track]=R$36)*
  (Data[Earned?]=TRUE)*
  (Data[Stage Completion Date(Adopt)]&gt;=$Q58)*
  (Data[Stage Completion Date(Adopt)]&lt;EDATE($Q58,1))*
  Data[Estimated Incentive Amount(Adopt)]
)</f>
        <v>0</v>
      </c>
      <c r="S58" s="52" cm="1">
        <f t="array" aca="1" ref="S58" ca="1">SUMPRODUCT(
  (Data[Track]=S$36)*
  (Data[Earned?]=TRUE)*
  (Data[Stage Completion Date(onboard)]&gt;=$Q58)*
  (Data[Stage Completion Date(onboard)]&lt;EDATE($Q58,1))*
  Data[Estimated Incentive Amount(Onboard)]
)+SUMPRODUCT(
  (Data[Track]=S$36)*
  (Data[Earned?]=TRUE)*
  (Data[Stage Completion Date(Use)]&gt;=$Q58)*
  (Data[Stage Completion Date(Use)]&lt;EDATE($Q58,1))*
  Data[Estimated Incentive Amount(Use)]
)+SUMPRODUCT(
  (Data[Track]=S$36)*
  (Data[Earned?]=TRUE)*
  (Data[Stage Completion Date(Engage)]&gt;=$Q58)*
  (Data[Stage Completion Date(Engage)]&lt;EDATE($Q58,1))*
  Data[Estimated Incentive Amount(Engage)]
)+SUMPRODUCT(
  (Data[Track]=S$36)*
  (Data[Earned?]=TRUE)*
  (Data[Stage Completion Date(Adopt)]&gt;=$Q58)*
  (Data[Stage Completion Date(Adopt)]&lt;EDATE($Q58,1))*
  Data[Estimated Incentive Amount(Adopt)]
)</f>
        <v>0</v>
      </c>
      <c r="T58" s="52" cm="1">
        <f t="array" aca="1" ref="T58" ca="1">SUMPRODUCT(
  (Data[Track]=T$36)*
  (Data[Earned?]=TRUE)*
  (Data[Stage Completion Date(onboard)]&gt;=$Q58)*
  (Data[Stage Completion Date(onboard)]&lt;EDATE($Q58,1))*
  Data[Estimated Incentive Amount(Onboard)]
)+SUMPRODUCT(
  (Data[Track]=T$36)*
  (Data[Earned?]=TRUE)*
  (Data[Stage Completion Date(Use)]&gt;=$Q58)*
  (Data[Stage Completion Date(Use)]&lt;EDATE($Q58,1))*
  Data[Estimated Incentive Amount(Use)]
)+SUMPRODUCT(
  (Data[Track]=T$36)*
  (Data[Earned?]=TRUE)*
  (Data[Stage Completion Date(Engage)]&gt;=$Q58)*
  (Data[Stage Completion Date(Engage)]&lt;EDATE($Q58,1))*
  Data[Estimated Incentive Amount(Engage)]
)+SUMPRODUCT(
  (Data[Track]=T$36)*
  (Data[Earned?]=TRUE)*
  (Data[Stage Completion Date(Adopt)]&gt;=$Q58)*
  (Data[Stage Completion Date(Adopt)]&lt;EDATE($Q58,1))*
  Data[Estimated Incentive Amount(Adopt)]
)</f>
        <v>0</v>
      </c>
      <c r="U58" s="52" cm="1">
        <f t="array" aca="1" ref="U58" ca="1">SUMPRODUCT(
  (Data[Track]=U$36)*
  (Data[Earned?]=TRUE)*
  (Data[Stage Completion Date(onboard)]&gt;=$Q58)*
  (Data[Stage Completion Date(onboard)]&lt;EDATE($Q58,1))*
  Data[Estimated Incentive Amount(Onboard)]
)+SUMPRODUCT(
  (Data[Track]=U$36)*
  (Data[Earned?]=TRUE)*
  (Data[Stage Completion Date(Use)]&gt;=$Q58)*
  (Data[Stage Completion Date(Use)]&lt;EDATE($Q58,1))*
  Data[Estimated Incentive Amount(Use)]
)+SUMPRODUCT(
  (Data[Track]=U$36)*
  (Data[Earned?]=TRUE)*
  (Data[Stage Completion Date(Engage)]&gt;=$Q58)*
  (Data[Stage Completion Date(Engage)]&lt;EDATE($Q58,1))*
  Data[Estimated Incentive Amount(Engage)]
)+SUMPRODUCT(
  (Data[Track]=U$36)*
  (Data[Earned?]=TRUE)*
  (Data[Stage Completion Date(Adopt)]&gt;=$Q58)*
  (Data[Stage Completion Date(Adopt)]&lt;EDATE($Q58,1))*
  Data[Estimated Incentive Amount(Adopt)]
)</f>
        <v>0</v>
      </c>
      <c r="V58" s="52" cm="1">
        <f t="array" aca="1" ref="V58" ca="1">SUMPRODUCT(
  (Data[Track]=V$36)*
  (Data[Earned?]=TRUE)*
  (Data[Stage Completion Date(onboard)]&gt;=$Q58)*
  (Data[Stage Completion Date(onboard)]&lt;EDATE($Q58,1))*
  Data[Estimated Incentive Amount(Onboard)]
)+SUMPRODUCT(
  (Data[Track]=V$36)*
  (Data[Earned?]=TRUE)*
  (Data[Stage Completion Date(Use)]&gt;=$Q58)*
  (Data[Stage Completion Date(Use)]&lt;EDATE($Q58,1))*
  Data[Estimated Incentive Amount(Use)]
)+SUMPRODUCT(
  (Data[Track]=V$36)*
  (Data[Earned?]=TRUE)*
  (Data[Stage Completion Date(Engage)]&gt;=$Q58)*
  (Data[Stage Completion Date(Engage)]&lt;EDATE($Q58,1))*
  Data[Estimated Incentive Amount(Engage)]
)+SUMPRODUCT(
  (Data[Track]=V$36)*
  (Data[Earned?]=TRUE)*
  (Data[Stage Completion Date(Adopt)]&gt;=$Q58)*
  (Data[Stage Completion Date(Adopt)]&lt;EDATE($Q58,1))*
  Data[Estimated Incentive Amount(Adopt)]
)</f>
        <v>0</v>
      </c>
      <c r="W58" s="52" cm="1">
        <f t="array" aca="1" ref="W58" ca="1">SUMPRODUCT(
  (Data[Track]=W$36)*
  (Data[Earned?]=TRUE)*
  (Data[Stage Completion Date(onboard)]&gt;=$Q58)*
  (Data[Stage Completion Date(onboard)]&lt;EDATE($Q58,1))*
  Data[Estimated Incentive Amount(Onboard)]
)+SUMPRODUCT(
  (Data[Track]=W$36)*
  (Data[Earned?]=TRUE)*
  (Data[Stage Completion Date(Use)]&gt;=$Q58)*
  (Data[Stage Completion Date(Use)]&lt;EDATE($Q58,1))*
  Data[Estimated Incentive Amount(Use)]
)+SUMPRODUCT(
  (Data[Track]=W$36)*
  (Data[Earned?]=TRUE)*
  (Data[Stage Completion Date(Engage)]&gt;=$Q58)*
  (Data[Stage Completion Date(Engage)]&lt;EDATE($Q58,1))*
  Data[Estimated Incentive Amount(Engage)]
)+SUMPRODUCT(
  (Data[Track]=W$36)*
  (Data[Earned?]=TRUE)*
  (Data[Stage Completion Date(Adopt)]&gt;=$Q58)*
  (Data[Stage Completion Date(Adopt)]&lt;EDATE($Q58,1))*
  Data[Estimated Incentive Amount(Adopt)]
)</f>
        <v>0</v>
      </c>
      <c r="X58" s="52" cm="1">
        <f t="array" aca="1" ref="X58" ca="1">SUMPRODUCT(
  (Data[Track]=X$36)*
  (Data[Earned?]=TRUE)*
  (Data[Stage Completion Date(onboard)]&gt;=$Q58)*
  (Data[Stage Completion Date(onboard)]&lt;EDATE($Q58,1))*
  Data[Estimated Incentive Amount(Onboard)]
)+SUMPRODUCT(
  (Data[Track]=X$36)*
  (Data[Earned?]=TRUE)*
  (Data[Stage Completion Date(Use)]&gt;=$Q58)*
  (Data[Stage Completion Date(Use)]&lt;EDATE($Q58,1))*
  Data[Estimated Incentive Amount(Use)]
)+SUMPRODUCT(
  (Data[Track]=X$36)*
  (Data[Earned?]=TRUE)*
  (Data[Stage Completion Date(Engage)]&gt;=$Q58)*
  (Data[Stage Completion Date(Engage)]&lt;EDATE($Q58,1))*
  Data[Estimated Incentive Amount(Engage)]
)+SUMPRODUCT(
  (Data[Track]=X$36)*
  (Data[Earned?]=TRUE)*
  (Data[Stage Completion Date(Adopt)]&gt;=$Q58)*
  (Data[Stage Completion Date(Adopt)]&lt;EDATE($Q58,1))*
  Data[Estimated Incentive Amount(Adopt)]
)</f>
        <v>0</v>
      </c>
      <c r="Y58" s="52" cm="1">
        <f t="array" aca="1" ref="Y58" ca="1">SUMPRODUCT(
  (Data[Track]=Y$36)*
  (Data[Earned?]=TRUE)*
  (Data[Stage Completion Date(onboard)]&gt;=$Q58)*
  (Data[Stage Completion Date(onboard)]&lt;EDATE($Q58,1))*
  Data[Estimated Incentive Amount(Onboard)]
)+SUMPRODUCT(
  (Data[Track]=Y$36)*
  (Data[Earned?]=TRUE)*
  (Data[Stage Completion Date(Use)]&gt;=$Q58)*
  (Data[Stage Completion Date(Use)]&lt;EDATE($Q58,1))*
  Data[Estimated Incentive Amount(Use)]
)+SUMPRODUCT(
  (Data[Track]=Y$36)*
  (Data[Earned?]=TRUE)*
  (Data[Stage Completion Date(Engage)]&gt;=$Q58)*
  (Data[Stage Completion Date(Engage)]&lt;EDATE($Q58,1))*
  Data[Estimated Incentive Amount(Engage)]
)+SUMPRODUCT(
  (Data[Track]=Y$36)*
  (Data[Earned?]=TRUE)*
  (Data[Stage Completion Date(Adopt)]&gt;=$Q58)*
  (Data[Stage Completion Date(Adopt)]&lt;EDATE($Q58,1))*
  Data[Estimated Incentive Amount(Adopt)]
)</f>
        <v>0</v>
      </c>
      <c r="Z58" s="52" cm="1">
        <f t="array" aca="1" ref="Z58" ca="1">SUMPRODUCT(
  (Data[Track]=Z$36)*
  (Data[Earned?]=TRUE)*
  (Data[Stage Completion Date(onboard)]&gt;=$Q58)*
  (Data[Stage Completion Date(onboard)]&lt;EDATE($Q58,1))*
  Data[Estimated Incentive Amount(Onboard)]
)+SUMPRODUCT(
  (Data[Track]=Z$36)*
  (Data[Earned?]=TRUE)*
  (Data[Stage Completion Date(Use)]&gt;=$Q58)*
  (Data[Stage Completion Date(Use)]&lt;EDATE($Q58,1))*
  Data[Estimated Incentive Amount(Use)]
)+SUMPRODUCT(
  (Data[Track]=Z$36)*
  (Data[Earned?]=TRUE)*
  (Data[Stage Completion Date(Engage)]&gt;=$Q58)*
  (Data[Stage Completion Date(Engage)]&lt;EDATE($Q58,1))*
  Data[Estimated Incentive Amount(Engage)]
)+SUMPRODUCT(
  (Data[Track]=Z$36)*
  (Data[Earned?]=TRUE)*
  (Data[Stage Completion Date(Adopt)]&gt;=$Q58)*
  (Data[Stage Completion Date(Adopt)]&lt;EDATE($Q58,1))*
  Data[Estimated Incentive Amount(Adopt)]
)</f>
        <v>0</v>
      </c>
      <c r="AA58" s="52" cm="1">
        <f t="array" aca="1" ref="AA58" ca="1">SUMPRODUCT(
  (Data[Track]=AA$36)*
  (Data[Earned?]=TRUE)*
  (Data[Stage Completion Date(onboard)]&gt;=$Q58)*
  (Data[Stage Completion Date(onboard)]&lt;EDATE($Q58,1))*
  Data[Estimated Incentive Amount(Onboard)]
)+SUMPRODUCT(
  (Data[Track]=AA$36)*
  (Data[Earned?]=TRUE)*
  (Data[Stage Completion Date(Use)]&gt;=$Q58)*
  (Data[Stage Completion Date(Use)]&lt;EDATE($Q58,1))*
  Data[Estimated Incentive Amount(Use)]
)+SUMPRODUCT(
  (Data[Track]=AA$36)*
  (Data[Earned?]=TRUE)*
  (Data[Stage Completion Date(Engage)]&gt;=$Q58)*
  (Data[Stage Completion Date(Engage)]&lt;EDATE($Q58,1))*
  Data[Estimated Incentive Amount(Engage)]
)+SUMPRODUCT(
  (Data[Track]=AA$36)*
  (Data[Earned?]=TRUE)*
  (Data[Stage Completion Date(Adopt)]&gt;=$Q58)*
  (Data[Stage Completion Date(Adopt)]&lt;EDATE($Q58,1))*
  Data[Estimated Incentive Amount(Adopt)]
)</f>
        <v>0</v>
      </c>
      <c r="AB58" s="52" cm="1">
        <f t="array" aca="1" ref="AB58" ca="1">SUMPRODUCT(
  (Data[Track]=AB$36)*
  (Data[Earned?]=TRUE)*
  (Data[Stage Completion Date(onboard)]&gt;=$Q58)*
  (Data[Stage Completion Date(onboard)]&lt;EDATE($Q58,1))*
  Data[Estimated Incentive Amount(Onboard)]
)+SUMPRODUCT(
  (Data[Track]=AB$36)*
  (Data[Earned?]=TRUE)*
  (Data[Stage Completion Date(Use)]&gt;=$Q58)*
  (Data[Stage Completion Date(Use)]&lt;EDATE($Q58,1))*
  Data[Estimated Incentive Amount(Use)]
)+SUMPRODUCT(
  (Data[Track]=AB$36)*
  (Data[Earned?]=TRUE)*
  (Data[Stage Completion Date(Engage)]&gt;=$Q58)*
  (Data[Stage Completion Date(Engage)]&lt;EDATE($Q58,1))*
  Data[Estimated Incentive Amount(Engage)]
)+SUMPRODUCT(
  (Data[Track]=AB$36)*
  (Data[Earned?]=TRUE)*
  (Data[Stage Completion Date(Adopt)]&gt;=$Q58)*
  (Data[Stage Completion Date(Adopt)]&lt;EDATE($Q58,1))*
  Data[Estimated Incentive Amount(Adopt)]
)</f>
        <v>0</v>
      </c>
      <c r="AC58" s="52" cm="1">
        <f t="array" aca="1" ref="AC58" ca="1">SUMPRODUCT(
  (Data[Track]=AC$36)*
  (Data[Earned?]=TRUE)*
  (Data[Stage Completion Date(onboard)]&gt;=$Q58)*
  (Data[Stage Completion Date(onboard)]&lt;EDATE($Q58,1))*
  Data[Estimated Incentive Amount(Onboard)]
)+SUMPRODUCT(
  (Data[Track]=AC$36)*
  (Data[Earned?]=TRUE)*
  (Data[Stage Completion Date(Use)]&gt;=$Q58)*
  (Data[Stage Completion Date(Use)]&lt;EDATE($Q58,1))*
  Data[Estimated Incentive Amount(Use)]
)+SUMPRODUCT(
  (Data[Track]=AC$36)*
  (Data[Earned?]=TRUE)*
  (Data[Stage Completion Date(Engage)]&gt;=$Q58)*
  (Data[Stage Completion Date(Engage)]&lt;EDATE($Q58,1))*
  Data[Estimated Incentive Amount(Engage)]
)+SUMPRODUCT(
  (Data[Track]=AC$36)*
  (Data[Earned?]=TRUE)*
  (Data[Stage Completion Date(Adopt)]&gt;=$Q58)*
  (Data[Stage Completion Date(Adopt)]&lt;EDATE($Q58,1))*
  Data[Estimated Incentive Amount(Adopt)]
)</f>
        <v>0</v>
      </c>
      <c r="AD58" s="72" cm="1">
        <f t="array" aca="1" ref="AD58" ca="1">SUM(_xlfn._xlws.FILTER($R58:$AC58, ISNUMBER(MATCH(_xlfn.ANCHORARRAY($R$36), _xlfn._xlws.FILTER(Hierarchy[[Offer]:[Offer]], Hierarchy[[Domain]:[Domain]]=AD$36), 0)), 0))</f>
        <v>0</v>
      </c>
      <c r="AE58" s="72" cm="1">
        <f t="array" aca="1" ref="AE58" ca="1">SUM(_xlfn._xlws.FILTER($R58:$AC58, ISNUMBER(MATCH(_xlfn.ANCHORARRAY($R$36), _xlfn._xlws.FILTER(Hierarchy[[Offer]:[Offer]], Hierarchy[[Domain]:[Domain]]=AE$36), 0)), 0))</f>
        <v>0</v>
      </c>
      <c r="AF58" s="72" cm="1">
        <f t="array" aca="1" ref="AF58" ca="1">SUM(_xlfn._xlws.FILTER($R58:$AC58, ISNUMBER(MATCH(_xlfn.ANCHORARRAY($R$36), _xlfn._xlws.FILTER(Hierarchy[[Offer]:[Offer]], Hierarchy[[Domain]:[Domain]]=AF$36), 0)), 0))</f>
        <v>0</v>
      </c>
      <c r="AG58" s="72" cm="1">
        <f t="array" aca="1" ref="AG58" ca="1">SUM(_xlfn._xlws.FILTER($R58:$AC58, ISNUMBER(MATCH(_xlfn.ANCHORARRAY($R$36), _xlfn._xlws.FILTER(Hierarchy[[Offer]:[Offer]], Hierarchy[[Domain]:[Domain]]=AG$36), 0)), 0))</f>
        <v>0</v>
      </c>
    </row>
    <row r="59" spans="4:33" x14ac:dyDescent="0.4">
      <c r="Q59" s="192">
        <f ca="1"/>
        <v>45839</v>
      </c>
      <c r="R59" s="52" cm="1">
        <f t="array" aca="1" ref="R59" ca="1">SUMPRODUCT(
  (Data[Track]=R$36)*
  (Data[Earned?]=TRUE)*
  (Data[Stage Completion Date(onboard)]&gt;=$Q59)*
  (Data[Stage Completion Date(onboard)]&lt;EDATE($Q59,1))*
  Data[Estimated Incentive Amount(Onboard)]
)+SUMPRODUCT(
  (Data[Track]=R$36)*
  (Data[Earned?]=TRUE)*
  (Data[Stage Completion Date(Use)]&gt;=$Q59)*
  (Data[Stage Completion Date(Use)]&lt;EDATE($Q59,1))*
  Data[Estimated Incentive Amount(Use)]
)+SUMPRODUCT(
  (Data[Track]=R$36)*
  (Data[Earned?]=TRUE)*
  (Data[Stage Completion Date(Engage)]&gt;=$Q59)*
  (Data[Stage Completion Date(Engage)]&lt;EDATE($Q59,1))*
  Data[Estimated Incentive Amount(Engage)]
)+SUMPRODUCT(
  (Data[Track]=R$36)*
  (Data[Earned?]=TRUE)*
  (Data[Stage Completion Date(Adopt)]&gt;=$Q59)*
  (Data[Stage Completion Date(Adopt)]&lt;EDATE($Q59,1))*
  Data[Estimated Incentive Amount(Adopt)]
)</f>
        <v>0</v>
      </c>
      <c r="S59" s="52" cm="1">
        <f t="array" aca="1" ref="S59" ca="1">SUMPRODUCT(
  (Data[Track]=S$36)*
  (Data[Earned?]=TRUE)*
  (Data[Stage Completion Date(onboard)]&gt;=$Q59)*
  (Data[Stage Completion Date(onboard)]&lt;EDATE($Q59,1))*
  Data[Estimated Incentive Amount(Onboard)]
)+SUMPRODUCT(
  (Data[Track]=S$36)*
  (Data[Earned?]=TRUE)*
  (Data[Stage Completion Date(Use)]&gt;=$Q59)*
  (Data[Stage Completion Date(Use)]&lt;EDATE($Q59,1))*
  Data[Estimated Incentive Amount(Use)]
)+SUMPRODUCT(
  (Data[Track]=S$36)*
  (Data[Earned?]=TRUE)*
  (Data[Stage Completion Date(Engage)]&gt;=$Q59)*
  (Data[Stage Completion Date(Engage)]&lt;EDATE($Q59,1))*
  Data[Estimated Incentive Amount(Engage)]
)+SUMPRODUCT(
  (Data[Track]=S$36)*
  (Data[Earned?]=TRUE)*
  (Data[Stage Completion Date(Adopt)]&gt;=$Q59)*
  (Data[Stage Completion Date(Adopt)]&lt;EDATE($Q59,1))*
  Data[Estimated Incentive Amount(Adopt)]
)</f>
        <v>0</v>
      </c>
      <c r="T59" s="52" cm="1">
        <f t="array" aca="1" ref="T59" ca="1">SUMPRODUCT(
  (Data[Track]=T$36)*
  (Data[Earned?]=TRUE)*
  (Data[Stage Completion Date(onboard)]&gt;=$Q59)*
  (Data[Stage Completion Date(onboard)]&lt;EDATE($Q59,1))*
  Data[Estimated Incentive Amount(Onboard)]
)+SUMPRODUCT(
  (Data[Track]=T$36)*
  (Data[Earned?]=TRUE)*
  (Data[Stage Completion Date(Use)]&gt;=$Q59)*
  (Data[Stage Completion Date(Use)]&lt;EDATE($Q59,1))*
  Data[Estimated Incentive Amount(Use)]
)+SUMPRODUCT(
  (Data[Track]=T$36)*
  (Data[Earned?]=TRUE)*
  (Data[Stage Completion Date(Engage)]&gt;=$Q59)*
  (Data[Stage Completion Date(Engage)]&lt;EDATE($Q59,1))*
  Data[Estimated Incentive Amount(Engage)]
)+SUMPRODUCT(
  (Data[Track]=T$36)*
  (Data[Earned?]=TRUE)*
  (Data[Stage Completion Date(Adopt)]&gt;=$Q59)*
  (Data[Stage Completion Date(Adopt)]&lt;EDATE($Q59,1))*
  Data[Estimated Incentive Amount(Adopt)]
)</f>
        <v>0</v>
      </c>
      <c r="U59" s="52" cm="1">
        <f t="array" aca="1" ref="U59" ca="1">SUMPRODUCT(
  (Data[Track]=U$36)*
  (Data[Earned?]=TRUE)*
  (Data[Stage Completion Date(onboard)]&gt;=$Q59)*
  (Data[Stage Completion Date(onboard)]&lt;EDATE($Q59,1))*
  Data[Estimated Incentive Amount(Onboard)]
)+SUMPRODUCT(
  (Data[Track]=U$36)*
  (Data[Earned?]=TRUE)*
  (Data[Stage Completion Date(Use)]&gt;=$Q59)*
  (Data[Stage Completion Date(Use)]&lt;EDATE($Q59,1))*
  Data[Estimated Incentive Amount(Use)]
)+SUMPRODUCT(
  (Data[Track]=U$36)*
  (Data[Earned?]=TRUE)*
  (Data[Stage Completion Date(Engage)]&gt;=$Q59)*
  (Data[Stage Completion Date(Engage)]&lt;EDATE($Q59,1))*
  Data[Estimated Incentive Amount(Engage)]
)+SUMPRODUCT(
  (Data[Track]=U$36)*
  (Data[Earned?]=TRUE)*
  (Data[Stage Completion Date(Adopt)]&gt;=$Q59)*
  (Data[Stage Completion Date(Adopt)]&lt;EDATE($Q59,1))*
  Data[Estimated Incentive Amount(Adopt)]
)</f>
        <v>0</v>
      </c>
      <c r="V59" s="52" cm="1">
        <f t="array" aca="1" ref="V59" ca="1">SUMPRODUCT(
  (Data[Track]=V$36)*
  (Data[Earned?]=TRUE)*
  (Data[Stage Completion Date(onboard)]&gt;=$Q59)*
  (Data[Stage Completion Date(onboard)]&lt;EDATE($Q59,1))*
  Data[Estimated Incentive Amount(Onboard)]
)+SUMPRODUCT(
  (Data[Track]=V$36)*
  (Data[Earned?]=TRUE)*
  (Data[Stage Completion Date(Use)]&gt;=$Q59)*
  (Data[Stage Completion Date(Use)]&lt;EDATE($Q59,1))*
  Data[Estimated Incentive Amount(Use)]
)+SUMPRODUCT(
  (Data[Track]=V$36)*
  (Data[Earned?]=TRUE)*
  (Data[Stage Completion Date(Engage)]&gt;=$Q59)*
  (Data[Stage Completion Date(Engage)]&lt;EDATE($Q59,1))*
  Data[Estimated Incentive Amount(Engage)]
)+SUMPRODUCT(
  (Data[Track]=V$36)*
  (Data[Earned?]=TRUE)*
  (Data[Stage Completion Date(Adopt)]&gt;=$Q59)*
  (Data[Stage Completion Date(Adopt)]&lt;EDATE($Q59,1))*
  Data[Estimated Incentive Amount(Adopt)]
)</f>
        <v>0</v>
      </c>
      <c r="W59" s="52" cm="1">
        <f t="array" aca="1" ref="W59" ca="1">SUMPRODUCT(
  (Data[Track]=W$36)*
  (Data[Earned?]=TRUE)*
  (Data[Stage Completion Date(onboard)]&gt;=$Q59)*
  (Data[Stage Completion Date(onboard)]&lt;EDATE($Q59,1))*
  Data[Estimated Incentive Amount(Onboard)]
)+SUMPRODUCT(
  (Data[Track]=W$36)*
  (Data[Earned?]=TRUE)*
  (Data[Stage Completion Date(Use)]&gt;=$Q59)*
  (Data[Stage Completion Date(Use)]&lt;EDATE($Q59,1))*
  Data[Estimated Incentive Amount(Use)]
)+SUMPRODUCT(
  (Data[Track]=W$36)*
  (Data[Earned?]=TRUE)*
  (Data[Stage Completion Date(Engage)]&gt;=$Q59)*
  (Data[Stage Completion Date(Engage)]&lt;EDATE($Q59,1))*
  Data[Estimated Incentive Amount(Engage)]
)+SUMPRODUCT(
  (Data[Track]=W$36)*
  (Data[Earned?]=TRUE)*
  (Data[Stage Completion Date(Adopt)]&gt;=$Q59)*
  (Data[Stage Completion Date(Adopt)]&lt;EDATE($Q59,1))*
  Data[Estimated Incentive Amount(Adopt)]
)</f>
        <v>0</v>
      </c>
      <c r="X59" s="52" cm="1">
        <f t="array" aca="1" ref="X59" ca="1">SUMPRODUCT(
  (Data[Track]=X$36)*
  (Data[Earned?]=TRUE)*
  (Data[Stage Completion Date(onboard)]&gt;=$Q59)*
  (Data[Stage Completion Date(onboard)]&lt;EDATE($Q59,1))*
  Data[Estimated Incentive Amount(Onboard)]
)+SUMPRODUCT(
  (Data[Track]=X$36)*
  (Data[Earned?]=TRUE)*
  (Data[Stage Completion Date(Use)]&gt;=$Q59)*
  (Data[Stage Completion Date(Use)]&lt;EDATE($Q59,1))*
  Data[Estimated Incentive Amount(Use)]
)+SUMPRODUCT(
  (Data[Track]=X$36)*
  (Data[Earned?]=TRUE)*
  (Data[Stage Completion Date(Engage)]&gt;=$Q59)*
  (Data[Stage Completion Date(Engage)]&lt;EDATE($Q59,1))*
  Data[Estimated Incentive Amount(Engage)]
)+SUMPRODUCT(
  (Data[Track]=X$36)*
  (Data[Earned?]=TRUE)*
  (Data[Stage Completion Date(Adopt)]&gt;=$Q59)*
  (Data[Stage Completion Date(Adopt)]&lt;EDATE($Q59,1))*
  Data[Estimated Incentive Amount(Adopt)]
)</f>
        <v>0</v>
      </c>
      <c r="Y59" s="52" cm="1">
        <f t="array" aca="1" ref="Y59" ca="1">SUMPRODUCT(
  (Data[Track]=Y$36)*
  (Data[Earned?]=TRUE)*
  (Data[Stage Completion Date(onboard)]&gt;=$Q59)*
  (Data[Stage Completion Date(onboard)]&lt;EDATE($Q59,1))*
  Data[Estimated Incentive Amount(Onboard)]
)+SUMPRODUCT(
  (Data[Track]=Y$36)*
  (Data[Earned?]=TRUE)*
  (Data[Stage Completion Date(Use)]&gt;=$Q59)*
  (Data[Stage Completion Date(Use)]&lt;EDATE($Q59,1))*
  Data[Estimated Incentive Amount(Use)]
)+SUMPRODUCT(
  (Data[Track]=Y$36)*
  (Data[Earned?]=TRUE)*
  (Data[Stage Completion Date(Engage)]&gt;=$Q59)*
  (Data[Stage Completion Date(Engage)]&lt;EDATE($Q59,1))*
  Data[Estimated Incentive Amount(Engage)]
)+SUMPRODUCT(
  (Data[Track]=Y$36)*
  (Data[Earned?]=TRUE)*
  (Data[Stage Completion Date(Adopt)]&gt;=$Q59)*
  (Data[Stage Completion Date(Adopt)]&lt;EDATE($Q59,1))*
  Data[Estimated Incentive Amount(Adopt)]
)</f>
        <v>0</v>
      </c>
      <c r="Z59" s="52" cm="1">
        <f t="array" aca="1" ref="Z59" ca="1">SUMPRODUCT(
  (Data[Track]=Z$36)*
  (Data[Earned?]=TRUE)*
  (Data[Stage Completion Date(onboard)]&gt;=$Q59)*
  (Data[Stage Completion Date(onboard)]&lt;EDATE($Q59,1))*
  Data[Estimated Incentive Amount(Onboard)]
)+SUMPRODUCT(
  (Data[Track]=Z$36)*
  (Data[Earned?]=TRUE)*
  (Data[Stage Completion Date(Use)]&gt;=$Q59)*
  (Data[Stage Completion Date(Use)]&lt;EDATE($Q59,1))*
  Data[Estimated Incentive Amount(Use)]
)+SUMPRODUCT(
  (Data[Track]=Z$36)*
  (Data[Earned?]=TRUE)*
  (Data[Stage Completion Date(Engage)]&gt;=$Q59)*
  (Data[Stage Completion Date(Engage)]&lt;EDATE($Q59,1))*
  Data[Estimated Incentive Amount(Engage)]
)+SUMPRODUCT(
  (Data[Track]=Z$36)*
  (Data[Earned?]=TRUE)*
  (Data[Stage Completion Date(Adopt)]&gt;=$Q59)*
  (Data[Stage Completion Date(Adopt)]&lt;EDATE($Q59,1))*
  Data[Estimated Incentive Amount(Adopt)]
)</f>
        <v>0</v>
      </c>
      <c r="AA59" s="52" cm="1">
        <f t="array" aca="1" ref="AA59" ca="1">SUMPRODUCT(
  (Data[Track]=AA$36)*
  (Data[Earned?]=TRUE)*
  (Data[Stage Completion Date(onboard)]&gt;=$Q59)*
  (Data[Stage Completion Date(onboard)]&lt;EDATE($Q59,1))*
  Data[Estimated Incentive Amount(Onboard)]
)+SUMPRODUCT(
  (Data[Track]=AA$36)*
  (Data[Earned?]=TRUE)*
  (Data[Stage Completion Date(Use)]&gt;=$Q59)*
  (Data[Stage Completion Date(Use)]&lt;EDATE($Q59,1))*
  Data[Estimated Incentive Amount(Use)]
)+SUMPRODUCT(
  (Data[Track]=AA$36)*
  (Data[Earned?]=TRUE)*
  (Data[Stage Completion Date(Engage)]&gt;=$Q59)*
  (Data[Stage Completion Date(Engage)]&lt;EDATE($Q59,1))*
  Data[Estimated Incentive Amount(Engage)]
)+SUMPRODUCT(
  (Data[Track]=AA$36)*
  (Data[Earned?]=TRUE)*
  (Data[Stage Completion Date(Adopt)]&gt;=$Q59)*
  (Data[Stage Completion Date(Adopt)]&lt;EDATE($Q59,1))*
  Data[Estimated Incentive Amount(Adopt)]
)</f>
        <v>0</v>
      </c>
      <c r="AB59" s="52" cm="1">
        <f t="array" aca="1" ref="AB59" ca="1">SUMPRODUCT(
  (Data[Track]=AB$36)*
  (Data[Earned?]=TRUE)*
  (Data[Stage Completion Date(onboard)]&gt;=$Q59)*
  (Data[Stage Completion Date(onboard)]&lt;EDATE($Q59,1))*
  Data[Estimated Incentive Amount(Onboard)]
)+SUMPRODUCT(
  (Data[Track]=AB$36)*
  (Data[Earned?]=TRUE)*
  (Data[Stage Completion Date(Use)]&gt;=$Q59)*
  (Data[Stage Completion Date(Use)]&lt;EDATE($Q59,1))*
  Data[Estimated Incentive Amount(Use)]
)+SUMPRODUCT(
  (Data[Track]=AB$36)*
  (Data[Earned?]=TRUE)*
  (Data[Stage Completion Date(Engage)]&gt;=$Q59)*
  (Data[Stage Completion Date(Engage)]&lt;EDATE($Q59,1))*
  Data[Estimated Incentive Amount(Engage)]
)+SUMPRODUCT(
  (Data[Track]=AB$36)*
  (Data[Earned?]=TRUE)*
  (Data[Stage Completion Date(Adopt)]&gt;=$Q59)*
  (Data[Stage Completion Date(Adopt)]&lt;EDATE($Q59,1))*
  Data[Estimated Incentive Amount(Adopt)]
)</f>
        <v>0</v>
      </c>
      <c r="AC59" s="52" cm="1">
        <f t="array" aca="1" ref="AC59" ca="1">SUMPRODUCT(
  (Data[Track]=AC$36)*
  (Data[Earned?]=TRUE)*
  (Data[Stage Completion Date(onboard)]&gt;=$Q59)*
  (Data[Stage Completion Date(onboard)]&lt;EDATE($Q59,1))*
  Data[Estimated Incentive Amount(Onboard)]
)+SUMPRODUCT(
  (Data[Track]=AC$36)*
  (Data[Earned?]=TRUE)*
  (Data[Stage Completion Date(Use)]&gt;=$Q59)*
  (Data[Stage Completion Date(Use)]&lt;EDATE($Q59,1))*
  Data[Estimated Incentive Amount(Use)]
)+SUMPRODUCT(
  (Data[Track]=AC$36)*
  (Data[Earned?]=TRUE)*
  (Data[Stage Completion Date(Engage)]&gt;=$Q59)*
  (Data[Stage Completion Date(Engage)]&lt;EDATE($Q59,1))*
  Data[Estimated Incentive Amount(Engage)]
)+SUMPRODUCT(
  (Data[Track]=AC$36)*
  (Data[Earned?]=TRUE)*
  (Data[Stage Completion Date(Adopt)]&gt;=$Q59)*
  (Data[Stage Completion Date(Adopt)]&lt;EDATE($Q59,1))*
  Data[Estimated Incentive Amount(Adopt)]
)</f>
        <v>0</v>
      </c>
      <c r="AD59" s="72" cm="1">
        <f t="array" aca="1" ref="AD59" ca="1">SUM(_xlfn._xlws.FILTER($R59:$AC59, ISNUMBER(MATCH(_xlfn.ANCHORARRAY($R$36), _xlfn._xlws.FILTER(Hierarchy[[Offer]:[Offer]], Hierarchy[[Domain]:[Domain]]=AD$36), 0)), 0))</f>
        <v>0</v>
      </c>
      <c r="AE59" s="72" cm="1">
        <f t="array" aca="1" ref="AE59" ca="1">SUM(_xlfn._xlws.FILTER($R59:$AC59, ISNUMBER(MATCH(_xlfn.ANCHORARRAY($R$36), _xlfn._xlws.FILTER(Hierarchy[[Offer]:[Offer]], Hierarchy[[Domain]:[Domain]]=AE$36), 0)), 0))</f>
        <v>0</v>
      </c>
      <c r="AF59" s="72" cm="1">
        <f t="array" aca="1" ref="AF59" ca="1">SUM(_xlfn._xlws.FILTER($R59:$AC59, ISNUMBER(MATCH(_xlfn.ANCHORARRAY($R$36), _xlfn._xlws.FILTER(Hierarchy[[Offer]:[Offer]], Hierarchy[[Domain]:[Domain]]=AF$36), 0)), 0))</f>
        <v>0</v>
      </c>
      <c r="AG59" s="72" cm="1">
        <f t="array" aca="1" ref="AG59" ca="1">SUM(_xlfn._xlws.FILTER($R59:$AC59, ISNUMBER(MATCH(_xlfn.ANCHORARRAY($R$36), _xlfn._xlws.FILTER(Hierarchy[[Offer]:[Offer]], Hierarchy[[Domain]:[Domain]]=AG$36), 0)), 0))</f>
        <v>0</v>
      </c>
    </row>
    <row r="60" spans="4:33" x14ac:dyDescent="0.4">
      <c r="Q60" s="192">
        <f ca="1"/>
        <v>45809</v>
      </c>
      <c r="R60" s="52" cm="1">
        <f t="array" aca="1" ref="R60" ca="1">SUMPRODUCT(
  (Data[Track]=R$36)*
  (Data[Earned?]=TRUE)*
  (Data[Stage Completion Date(onboard)]&gt;=$Q60)*
  (Data[Stage Completion Date(onboard)]&lt;EDATE($Q60,1))*
  Data[Estimated Incentive Amount(Onboard)]
)+SUMPRODUCT(
  (Data[Track]=R$36)*
  (Data[Earned?]=TRUE)*
  (Data[Stage Completion Date(Use)]&gt;=$Q60)*
  (Data[Stage Completion Date(Use)]&lt;EDATE($Q60,1))*
  Data[Estimated Incentive Amount(Use)]
)+SUMPRODUCT(
  (Data[Track]=R$36)*
  (Data[Earned?]=TRUE)*
  (Data[Stage Completion Date(Engage)]&gt;=$Q60)*
  (Data[Stage Completion Date(Engage)]&lt;EDATE($Q60,1))*
  Data[Estimated Incentive Amount(Engage)]
)+SUMPRODUCT(
  (Data[Track]=R$36)*
  (Data[Earned?]=TRUE)*
  (Data[Stage Completion Date(Adopt)]&gt;=$Q60)*
  (Data[Stage Completion Date(Adopt)]&lt;EDATE($Q60,1))*
  Data[Estimated Incentive Amount(Adopt)]
)</f>
        <v>0</v>
      </c>
      <c r="S60" s="52" cm="1">
        <f t="array" aca="1" ref="S60" ca="1">SUMPRODUCT(
  (Data[Track]=S$36)*
  (Data[Earned?]=TRUE)*
  (Data[Stage Completion Date(onboard)]&gt;=$Q60)*
  (Data[Stage Completion Date(onboard)]&lt;EDATE($Q60,1))*
  Data[Estimated Incentive Amount(Onboard)]
)+SUMPRODUCT(
  (Data[Track]=S$36)*
  (Data[Earned?]=TRUE)*
  (Data[Stage Completion Date(Use)]&gt;=$Q60)*
  (Data[Stage Completion Date(Use)]&lt;EDATE($Q60,1))*
  Data[Estimated Incentive Amount(Use)]
)+SUMPRODUCT(
  (Data[Track]=S$36)*
  (Data[Earned?]=TRUE)*
  (Data[Stage Completion Date(Engage)]&gt;=$Q60)*
  (Data[Stage Completion Date(Engage)]&lt;EDATE($Q60,1))*
  Data[Estimated Incentive Amount(Engage)]
)+SUMPRODUCT(
  (Data[Track]=S$36)*
  (Data[Earned?]=TRUE)*
  (Data[Stage Completion Date(Adopt)]&gt;=$Q60)*
  (Data[Stage Completion Date(Adopt)]&lt;EDATE($Q60,1))*
  Data[Estimated Incentive Amount(Adopt)]
)</f>
        <v>0</v>
      </c>
      <c r="T60" s="52" cm="1">
        <f t="array" aca="1" ref="T60" ca="1">SUMPRODUCT(
  (Data[Track]=T$36)*
  (Data[Earned?]=TRUE)*
  (Data[Stage Completion Date(onboard)]&gt;=$Q60)*
  (Data[Stage Completion Date(onboard)]&lt;EDATE($Q60,1))*
  Data[Estimated Incentive Amount(Onboard)]
)+SUMPRODUCT(
  (Data[Track]=T$36)*
  (Data[Earned?]=TRUE)*
  (Data[Stage Completion Date(Use)]&gt;=$Q60)*
  (Data[Stage Completion Date(Use)]&lt;EDATE($Q60,1))*
  Data[Estimated Incentive Amount(Use)]
)+SUMPRODUCT(
  (Data[Track]=T$36)*
  (Data[Earned?]=TRUE)*
  (Data[Stage Completion Date(Engage)]&gt;=$Q60)*
  (Data[Stage Completion Date(Engage)]&lt;EDATE($Q60,1))*
  Data[Estimated Incentive Amount(Engage)]
)+SUMPRODUCT(
  (Data[Track]=T$36)*
  (Data[Earned?]=TRUE)*
  (Data[Stage Completion Date(Adopt)]&gt;=$Q60)*
  (Data[Stage Completion Date(Adopt)]&lt;EDATE($Q60,1))*
  Data[Estimated Incentive Amount(Adopt)]
)</f>
        <v>0</v>
      </c>
      <c r="U60" s="52" cm="1">
        <f t="array" aca="1" ref="U60" ca="1">SUMPRODUCT(
  (Data[Track]=U$36)*
  (Data[Earned?]=TRUE)*
  (Data[Stage Completion Date(onboard)]&gt;=$Q60)*
  (Data[Stage Completion Date(onboard)]&lt;EDATE($Q60,1))*
  Data[Estimated Incentive Amount(Onboard)]
)+SUMPRODUCT(
  (Data[Track]=U$36)*
  (Data[Earned?]=TRUE)*
  (Data[Stage Completion Date(Use)]&gt;=$Q60)*
  (Data[Stage Completion Date(Use)]&lt;EDATE($Q60,1))*
  Data[Estimated Incentive Amount(Use)]
)+SUMPRODUCT(
  (Data[Track]=U$36)*
  (Data[Earned?]=TRUE)*
  (Data[Stage Completion Date(Engage)]&gt;=$Q60)*
  (Data[Stage Completion Date(Engage)]&lt;EDATE($Q60,1))*
  Data[Estimated Incentive Amount(Engage)]
)+SUMPRODUCT(
  (Data[Track]=U$36)*
  (Data[Earned?]=TRUE)*
  (Data[Stage Completion Date(Adopt)]&gt;=$Q60)*
  (Data[Stage Completion Date(Adopt)]&lt;EDATE($Q60,1))*
  Data[Estimated Incentive Amount(Adopt)]
)</f>
        <v>0</v>
      </c>
      <c r="V60" s="52" cm="1">
        <f t="array" aca="1" ref="V60" ca="1">SUMPRODUCT(
  (Data[Track]=V$36)*
  (Data[Earned?]=TRUE)*
  (Data[Stage Completion Date(onboard)]&gt;=$Q60)*
  (Data[Stage Completion Date(onboard)]&lt;EDATE($Q60,1))*
  Data[Estimated Incentive Amount(Onboard)]
)+SUMPRODUCT(
  (Data[Track]=V$36)*
  (Data[Earned?]=TRUE)*
  (Data[Stage Completion Date(Use)]&gt;=$Q60)*
  (Data[Stage Completion Date(Use)]&lt;EDATE($Q60,1))*
  Data[Estimated Incentive Amount(Use)]
)+SUMPRODUCT(
  (Data[Track]=V$36)*
  (Data[Earned?]=TRUE)*
  (Data[Stage Completion Date(Engage)]&gt;=$Q60)*
  (Data[Stage Completion Date(Engage)]&lt;EDATE($Q60,1))*
  Data[Estimated Incentive Amount(Engage)]
)+SUMPRODUCT(
  (Data[Track]=V$36)*
  (Data[Earned?]=TRUE)*
  (Data[Stage Completion Date(Adopt)]&gt;=$Q60)*
  (Data[Stage Completion Date(Adopt)]&lt;EDATE($Q60,1))*
  Data[Estimated Incentive Amount(Adopt)]
)</f>
        <v>0</v>
      </c>
      <c r="W60" s="52" cm="1">
        <f t="array" aca="1" ref="W60" ca="1">SUMPRODUCT(
  (Data[Track]=W$36)*
  (Data[Earned?]=TRUE)*
  (Data[Stage Completion Date(onboard)]&gt;=$Q60)*
  (Data[Stage Completion Date(onboard)]&lt;EDATE($Q60,1))*
  Data[Estimated Incentive Amount(Onboard)]
)+SUMPRODUCT(
  (Data[Track]=W$36)*
  (Data[Earned?]=TRUE)*
  (Data[Stage Completion Date(Use)]&gt;=$Q60)*
  (Data[Stage Completion Date(Use)]&lt;EDATE($Q60,1))*
  Data[Estimated Incentive Amount(Use)]
)+SUMPRODUCT(
  (Data[Track]=W$36)*
  (Data[Earned?]=TRUE)*
  (Data[Stage Completion Date(Engage)]&gt;=$Q60)*
  (Data[Stage Completion Date(Engage)]&lt;EDATE($Q60,1))*
  Data[Estimated Incentive Amount(Engage)]
)+SUMPRODUCT(
  (Data[Track]=W$36)*
  (Data[Earned?]=TRUE)*
  (Data[Stage Completion Date(Adopt)]&gt;=$Q60)*
  (Data[Stage Completion Date(Adopt)]&lt;EDATE($Q60,1))*
  Data[Estimated Incentive Amount(Adopt)]
)</f>
        <v>0</v>
      </c>
      <c r="X60" s="52" cm="1">
        <f t="array" aca="1" ref="X60" ca="1">SUMPRODUCT(
  (Data[Track]=X$36)*
  (Data[Earned?]=TRUE)*
  (Data[Stage Completion Date(onboard)]&gt;=$Q60)*
  (Data[Stage Completion Date(onboard)]&lt;EDATE($Q60,1))*
  Data[Estimated Incentive Amount(Onboard)]
)+SUMPRODUCT(
  (Data[Track]=X$36)*
  (Data[Earned?]=TRUE)*
  (Data[Stage Completion Date(Use)]&gt;=$Q60)*
  (Data[Stage Completion Date(Use)]&lt;EDATE($Q60,1))*
  Data[Estimated Incentive Amount(Use)]
)+SUMPRODUCT(
  (Data[Track]=X$36)*
  (Data[Earned?]=TRUE)*
  (Data[Stage Completion Date(Engage)]&gt;=$Q60)*
  (Data[Stage Completion Date(Engage)]&lt;EDATE($Q60,1))*
  Data[Estimated Incentive Amount(Engage)]
)+SUMPRODUCT(
  (Data[Track]=X$36)*
  (Data[Earned?]=TRUE)*
  (Data[Stage Completion Date(Adopt)]&gt;=$Q60)*
  (Data[Stage Completion Date(Adopt)]&lt;EDATE($Q60,1))*
  Data[Estimated Incentive Amount(Adopt)]
)</f>
        <v>0</v>
      </c>
      <c r="Y60" s="52" cm="1">
        <f t="array" aca="1" ref="Y60" ca="1">SUMPRODUCT(
  (Data[Track]=Y$36)*
  (Data[Earned?]=TRUE)*
  (Data[Stage Completion Date(onboard)]&gt;=$Q60)*
  (Data[Stage Completion Date(onboard)]&lt;EDATE($Q60,1))*
  Data[Estimated Incentive Amount(Onboard)]
)+SUMPRODUCT(
  (Data[Track]=Y$36)*
  (Data[Earned?]=TRUE)*
  (Data[Stage Completion Date(Use)]&gt;=$Q60)*
  (Data[Stage Completion Date(Use)]&lt;EDATE($Q60,1))*
  Data[Estimated Incentive Amount(Use)]
)+SUMPRODUCT(
  (Data[Track]=Y$36)*
  (Data[Earned?]=TRUE)*
  (Data[Stage Completion Date(Engage)]&gt;=$Q60)*
  (Data[Stage Completion Date(Engage)]&lt;EDATE($Q60,1))*
  Data[Estimated Incentive Amount(Engage)]
)+SUMPRODUCT(
  (Data[Track]=Y$36)*
  (Data[Earned?]=TRUE)*
  (Data[Stage Completion Date(Adopt)]&gt;=$Q60)*
  (Data[Stage Completion Date(Adopt)]&lt;EDATE($Q60,1))*
  Data[Estimated Incentive Amount(Adopt)]
)</f>
        <v>0</v>
      </c>
      <c r="Z60" s="52" cm="1">
        <f t="array" aca="1" ref="Z60" ca="1">SUMPRODUCT(
  (Data[Track]=Z$36)*
  (Data[Earned?]=TRUE)*
  (Data[Stage Completion Date(onboard)]&gt;=$Q60)*
  (Data[Stage Completion Date(onboard)]&lt;EDATE($Q60,1))*
  Data[Estimated Incentive Amount(Onboard)]
)+SUMPRODUCT(
  (Data[Track]=Z$36)*
  (Data[Earned?]=TRUE)*
  (Data[Stage Completion Date(Use)]&gt;=$Q60)*
  (Data[Stage Completion Date(Use)]&lt;EDATE($Q60,1))*
  Data[Estimated Incentive Amount(Use)]
)+SUMPRODUCT(
  (Data[Track]=Z$36)*
  (Data[Earned?]=TRUE)*
  (Data[Stage Completion Date(Engage)]&gt;=$Q60)*
  (Data[Stage Completion Date(Engage)]&lt;EDATE($Q60,1))*
  Data[Estimated Incentive Amount(Engage)]
)+SUMPRODUCT(
  (Data[Track]=Z$36)*
  (Data[Earned?]=TRUE)*
  (Data[Stage Completion Date(Adopt)]&gt;=$Q60)*
  (Data[Stage Completion Date(Adopt)]&lt;EDATE($Q60,1))*
  Data[Estimated Incentive Amount(Adopt)]
)</f>
        <v>0</v>
      </c>
      <c r="AA60" s="52" cm="1">
        <f t="array" aca="1" ref="AA60" ca="1">SUMPRODUCT(
  (Data[Track]=AA$36)*
  (Data[Earned?]=TRUE)*
  (Data[Stage Completion Date(onboard)]&gt;=$Q60)*
  (Data[Stage Completion Date(onboard)]&lt;EDATE($Q60,1))*
  Data[Estimated Incentive Amount(Onboard)]
)+SUMPRODUCT(
  (Data[Track]=AA$36)*
  (Data[Earned?]=TRUE)*
  (Data[Stage Completion Date(Use)]&gt;=$Q60)*
  (Data[Stage Completion Date(Use)]&lt;EDATE($Q60,1))*
  Data[Estimated Incentive Amount(Use)]
)+SUMPRODUCT(
  (Data[Track]=AA$36)*
  (Data[Earned?]=TRUE)*
  (Data[Stage Completion Date(Engage)]&gt;=$Q60)*
  (Data[Stage Completion Date(Engage)]&lt;EDATE($Q60,1))*
  Data[Estimated Incentive Amount(Engage)]
)+SUMPRODUCT(
  (Data[Track]=AA$36)*
  (Data[Earned?]=TRUE)*
  (Data[Stage Completion Date(Adopt)]&gt;=$Q60)*
  (Data[Stage Completion Date(Adopt)]&lt;EDATE($Q60,1))*
  Data[Estimated Incentive Amount(Adopt)]
)</f>
        <v>0</v>
      </c>
      <c r="AB60" s="52" cm="1">
        <f t="array" aca="1" ref="AB60" ca="1">SUMPRODUCT(
  (Data[Track]=AB$36)*
  (Data[Earned?]=TRUE)*
  (Data[Stage Completion Date(onboard)]&gt;=$Q60)*
  (Data[Stage Completion Date(onboard)]&lt;EDATE($Q60,1))*
  Data[Estimated Incentive Amount(Onboard)]
)+SUMPRODUCT(
  (Data[Track]=AB$36)*
  (Data[Earned?]=TRUE)*
  (Data[Stage Completion Date(Use)]&gt;=$Q60)*
  (Data[Stage Completion Date(Use)]&lt;EDATE($Q60,1))*
  Data[Estimated Incentive Amount(Use)]
)+SUMPRODUCT(
  (Data[Track]=AB$36)*
  (Data[Earned?]=TRUE)*
  (Data[Stage Completion Date(Engage)]&gt;=$Q60)*
  (Data[Stage Completion Date(Engage)]&lt;EDATE($Q60,1))*
  Data[Estimated Incentive Amount(Engage)]
)+SUMPRODUCT(
  (Data[Track]=AB$36)*
  (Data[Earned?]=TRUE)*
  (Data[Stage Completion Date(Adopt)]&gt;=$Q60)*
  (Data[Stage Completion Date(Adopt)]&lt;EDATE($Q60,1))*
  Data[Estimated Incentive Amount(Adopt)]
)</f>
        <v>0</v>
      </c>
      <c r="AC60" s="52" cm="1">
        <f t="array" aca="1" ref="AC60" ca="1">SUMPRODUCT(
  (Data[Track]=AC$36)*
  (Data[Earned?]=TRUE)*
  (Data[Stage Completion Date(onboard)]&gt;=$Q60)*
  (Data[Stage Completion Date(onboard)]&lt;EDATE($Q60,1))*
  Data[Estimated Incentive Amount(Onboard)]
)+SUMPRODUCT(
  (Data[Track]=AC$36)*
  (Data[Earned?]=TRUE)*
  (Data[Stage Completion Date(Use)]&gt;=$Q60)*
  (Data[Stage Completion Date(Use)]&lt;EDATE($Q60,1))*
  Data[Estimated Incentive Amount(Use)]
)+SUMPRODUCT(
  (Data[Track]=AC$36)*
  (Data[Earned?]=TRUE)*
  (Data[Stage Completion Date(Engage)]&gt;=$Q60)*
  (Data[Stage Completion Date(Engage)]&lt;EDATE($Q60,1))*
  Data[Estimated Incentive Amount(Engage)]
)+SUMPRODUCT(
  (Data[Track]=AC$36)*
  (Data[Earned?]=TRUE)*
  (Data[Stage Completion Date(Adopt)]&gt;=$Q60)*
  (Data[Stage Completion Date(Adopt)]&lt;EDATE($Q60,1))*
  Data[Estimated Incentive Amount(Adopt)]
)</f>
        <v>0</v>
      </c>
      <c r="AD60" s="72" cm="1">
        <f t="array" aca="1" ref="AD60" ca="1">SUM(_xlfn._xlws.FILTER($R60:$AC60, ISNUMBER(MATCH(_xlfn.ANCHORARRAY($R$36), _xlfn._xlws.FILTER(Hierarchy[[Offer]:[Offer]], Hierarchy[[Domain]:[Domain]]=AD$36), 0)), 0))</f>
        <v>0</v>
      </c>
      <c r="AE60" s="72" cm="1">
        <f t="array" aca="1" ref="AE60" ca="1">SUM(_xlfn._xlws.FILTER($R60:$AC60, ISNUMBER(MATCH(_xlfn.ANCHORARRAY($R$36), _xlfn._xlws.FILTER(Hierarchy[[Offer]:[Offer]], Hierarchy[[Domain]:[Domain]]=AE$36), 0)), 0))</f>
        <v>0</v>
      </c>
      <c r="AF60" s="72" cm="1">
        <f t="array" aca="1" ref="AF60" ca="1">SUM(_xlfn._xlws.FILTER($R60:$AC60, ISNUMBER(MATCH(_xlfn.ANCHORARRAY($R$36), _xlfn._xlws.FILTER(Hierarchy[[Offer]:[Offer]], Hierarchy[[Domain]:[Domain]]=AF$36), 0)), 0))</f>
        <v>0</v>
      </c>
      <c r="AG60" s="72" cm="1">
        <f t="array" aca="1" ref="AG60" ca="1">SUM(_xlfn._xlws.FILTER($R60:$AC60, ISNUMBER(MATCH(_xlfn.ANCHORARRAY($R$36), _xlfn._xlws.FILTER(Hierarchy[[Offer]:[Offer]], Hierarchy[[Domain]:[Domain]]=AG$36), 0)), 0))</f>
        <v>0</v>
      </c>
    </row>
    <row r="61" spans="4:33" x14ac:dyDescent="0.4">
      <c r="P61" s="9" t="s">
        <v>394</v>
      </c>
      <c r="Q61" s="192" cm="1">
        <f t="array" aca="1" ref="Q61:Q72" ca="1">EDATE(EOMONTH(TODAY(),-1)+1, -_xlfn.SEQUENCE(12, 1, 0, 1))</f>
        <v>46143</v>
      </c>
      <c r="R61" s="193" cm="1">
        <f t="array" aca="1" ref="R61" ca="1">SUMPRODUCT(
  (Data[Track]=R$36)*
  (Data[Adopt Rebate Opt-In Status]="Opted In")*
  (Data[Stage]="Eligible")*
  (
    ((Data[Stage Completion Date (Purchase)]&gt;=$Q61)*(Data[Stage Completion Date (Purchase)]&lt;EDATE($Q61,1)))+
    ((Data[Stage Completion Date(onboard)]&gt;=$Q61)*(Data[Stage Completion Date(onboard)]&lt;EDATE($Q61,1)))+
    ((Data[Stage Completion Date (Implement)]&gt;=$Q61)*(Data[Stage Completion Date (Implement)]&lt;EDATE($Q61,1)))+
    ((Data[Stage Completion Date(Use)]&gt;=$Q61)*(Data[Stage Completion Date(Use)]&lt;EDATE($Q61,1)))+
    ((Data[Stage Completion Date(Engage)]&gt;=$Q61)*(Data[Stage Completion Date(Engage)]&lt;EDATE($Q61,1)))+
    ((Data[Stage Completion Date(Adopt)]&gt;=$Q61)*(Data[Stage Completion Date(Adopt)]&lt;EDATE($Q61,1)))
    &gt;0
  )
)</f>
        <v>0</v>
      </c>
      <c r="S61" s="193" cm="1">
        <f t="array" aca="1" ref="S61" ca="1">SUMPRODUCT(
  (Data[Track]=S$36)*
  (Data[Adopt Rebate Opt-In Status]="Opted In")*
  (Data[Stage]="Eligible")*
  (
    ((Data[Stage Completion Date (Purchase)]&gt;=$Q61)*(Data[Stage Completion Date (Purchase)]&lt;EDATE($Q61,1)))+
    ((Data[Stage Completion Date(onboard)]&gt;=$Q61)*(Data[Stage Completion Date(onboard)]&lt;EDATE($Q61,1)))+
    ((Data[Stage Completion Date (Implement)]&gt;=$Q61)*(Data[Stage Completion Date (Implement)]&lt;EDATE($Q61,1)))+
    ((Data[Stage Completion Date(Use)]&gt;=$Q61)*(Data[Stage Completion Date(Use)]&lt;EDATE($Q61,1)))+
    ((Data[Stage Completion Date(Engage)]&gt;=$Q61)*(Data[Stage Completion Date(Engage)]&lt;EDATE($Q61,1)))+
    ((Data[Stage Completion Date(Adopt)]&gt;=$Q61)*(Data[Stage Completion Date(Adopt)]&lt;EDATE($Q61,1)))
    &gt;0
  )
)</f>
        <v>0</v>
      </c>
      <c r="T61" s="193" cm="1">
        <f t="array" aca="1" ref="T61" ca="1">SUMPRODUCT(
  (Data[Track]=T$36)*
  (Data[Adopt Rebate Opt-In Status]="Opted In")*
  (Data[Stage]="Eligible")*
  (
    ((Data[Stage Completion Date (Purchase)]&gt;=$Q61)*(Data[Stage Completion Date (Purchase)]&lt;EDATE($Q61,1)))+
    ((Data[Stage Completion Date(onboard)]&gt;=$Q61)*(Data[Stage Completion Date(onboard)]&lt;EDATE($Q61,1)))+
    ((Data[Stage Completion Date (Implement)]&gt;=$Q61)*(Data[Stage Completion Date (Implement)]&lt;EDATE($Q61,1)))+
    ((Data[Stage Completion Date(Use)]&gt;=$Q61)*(Data[Stage Completion Date(Use)]&lt;EDATE($Q61,1)))+
    ((Data[Stage Completion Date(Engage)]&gt;=$Q61)*(Data[Stage Completion Date(Engage)]&lt;EDATE($Q61,1)))+
    ((Data[Stage Completion Date(Adopt)]&gt;=$Q61)*(Data[Stage Completion Date(Adopt)]&lt;EDATE($Q61,1)))
    &gt;0
  )
)</f>
        <v>0</v>
      </c>
      <c r="U61" s="193" cm="1">
        <f t="array" aca="1" ref="U61" ca="1">SUMPRODUCT(
  (Data[Track]=U$36)*
  (Data[Adopt Rebate Opt-In Status]="Opted In")*
  (Data[Stage]="Eligible")*
  (
    ((Data[Stage Completion Date (Purchase)]&gt;=$Q61)*(Data[Stage Completion Date (Purchase)]&lt;EDATE($Q61,1)))+
    ((Data[Stage Completion Date(onboard)]&gt;=$Q61)*(Data[Stage Completion Date(onboard)]&lt;EDATE($Q61,1)))+
    ((Data[Stage Completion Date (Implement)]&gt;=$Q61)*(Data[Stage Completion Date (Implement)]&lt;EDATE($Q61,1)))+
    ((Data[Stage Completion Date(Use)]&gt;=$Q61)*(Data[Stage Completion Date(Use)]&lt;EDATE($Q61,1)))+
    ((Data[Stage Completion Date(Engage)]&gt;=$Q61)*(Data[Stage Completion Date(Engage)]&lt;EDATE($Q61,1)))+
    ((Data[Stage Completion Date(Adopt)]&gt;=$Q61)*(Data[Stage Completion Date(Adopt)]&lt;EDATE($Q61,1)))
    &gt;0
  )
)</f>
        <v>0</v>
      </c>
      <c r="V61" s="193" cm="1">
        <f t="array" aca="1" ref="V61" ca="1">SUMPRODUCT(
  (Data[Track]=V$36)*
  (Data[Adopt Rebate Opt-In Status]="Opted In")*
  (Data[Stage]="Eligible")*
  (
    ((Data[Stage Completion Date (Purchase)]&gt;=$Q61)*(Data[Stage Completion Date (Purchase)]&lt;EDATE($Q61,1)))+
    ((Data[Stage Completion Date(onboard)]&gt;=$Q61)*(Data[Stage Completion Date(onboard)]&lt;EDATE($Q61,1)))+
    ((Data[Stage Completion Date (Implement)]&gt;=$Q61)*(Data[Stage Completion Date (Implement)]&lt;EDATE($Q61,1)))+
    ((Data[Stage Completion Date(Use)]&gt;=$Q61)*(Data[Stage Completion Date(Use)]&lt;EDATE($Q61,1)))+
    ((Data[Stage Completion Date(Engage)]&gt;=$Q61)*(Data[Stage Completion Date(Engage)]&lt;EDATE($Q61,1)))+
    ((Data[Stage Completion Date(Adopt)]&gt;=$Q61)*(Data[Stage Completion Date(Adopt)]&lt;EDATE($Q61,1)))
    &gt;0
  )
)</f>
        <v>0</v>
      </c>
      <c r="W61" s="193" cm="1">
        <f t="array" aca="1" ref="W61" ca="1">SUMPRODUCT(
  (Data[Track]=W$36)*
  (Data[Adopt Rebate Opt-In Status]="Opted In")*
  (Data[Stage]="Eligible")*
  (
    ((Data[Stage Completion Date (Purchase)]&gt;=$Q61)*(Data[Stage Completion Date (Purchase)]&lt;EDATE($Q61,1)))+
    ((Data[Stage Completion Date(onboard)]&gt;=$Q61)*(Data[Stage Completion Date(onboard)]&lt;EDATE($Q61,1)))+
    ((Data[Stage Completion Date (Implement)]&gt;=$Q61)*(Data[Stage Completion Date (Implement)]&lt;EDATE($Q61,1)))+
    ((Data[Stage Completion Date(Use)]&gt;=$Q61)*(Data[Stage Completion Date(Use)]&lt;EDATE($Q61,1)))+
    ((Data[Stage Completion Date(Engage)]&gt;=$Q61)*(Data[Stage Completion Date(Engage)]&lt;EDATE($Q61,1)))+
    ((Data[Stage Completion Date(Adopt)]&gt;=$Q61)*(Data[Stage Completion Date(Adopt)]&lt;EDATE($Q61,1)))
    &gt;0
  )
)</f>
        <v>0</v>
      </c>
      <c r="X61" s="193" cm="1">
        <f t="array" aca="1" ref="X61" ca="1">SUMPRODUCT(
  (Data[Track]=X$36)*
  (Data[Adopt Rebate Opt-In Status]="Opted In")*
  (Data[Stage]="Eligible")*
  (
    ((Data[Stage Completion Date (Purchase)]&gt;=$Q61)*(Data[Stage Completion Date (Purchase)]&lt;EDATE($Q61,1)))+
    ((Data[Stage Completion Date(onboard)]&gt;=$Q61)*(Data[Stage Completion Date(onboard)]&lt;EDATE($Q61,1)))+
    ((Data[Stage Completion Date (Implement)]&gt;=$Q61)*(Data[Stage Completion Date (Implement)]&lt;EDATE($Q61,1)))+
    ((Data[Stage Completion Date(Use)]&gt;=$Q61)*(Data[Stage Completion Date(Use)]&lt;EDATE($Q61,1)))+
    ((Data[Stage Completion Date(Engage)]&gt;=$Q61)*(Data[Stage Completion Date(Engage)]&lt;EDATE($Q61,1)))+
    ((Data[Stage Completion Date(Adopt)]&gt;=$Q61)*(Data[Stage Completion Date(Adopt)]&lt;EDATE($Q61,1)))
    &gt;0
  )
)</f>
        <v>0</v>
      </c>
      <c r="Y61" s="193" cm="1">
        <f t="array" aca="1" ref="Y61" ca="1">SUMPRODUCT(
  (Data[Track]=Y$36)*
  (Data[Adopt Rebate Opt-In Status]="Opted In")*
  (Data[Stage]="Eligible")*
  (
    ((Data[Stage Completion Date (Purchase)]&gt;=$Q61)*(Data[Stage Completion Date (Purchase)]&lt;EDATE($Q61,1)))+
    ((Data[Stage Completion Date(onboard)]&gt;=$Q61)*(Data[Stage Completion Date(onboard)]&lt;EDATE($Q61,1)))+
    ((Data[Stage Completion Date (Implement)]&gt;=$Q61)*(Data[Stage Completion Date (Implement)]&lt;EDATE($Q61,1)))+
    ((Data[Stage Completion Date(Use)]&gt;=$Q61)*(Data[Stage Completion Date(Use)]&lt;EDATE($Q61,1)))+
    ((Data[Stage Completion Date(Engage)]&gt;=$Q61)*(Data[Stage Completion Date(Engage)]&lt;EDATE($Q61,1)))+
    ((Data[Stage Completion Date(Adopt)]&gt;=$Q61)*(Data[Stage Completion Date(Adopt)]&lt;EDATE($Q61,1)))
    &gt;0
  )
)</f>
        <v>0</v>
      </c>
      <c r="Z61" s="193" cm="1">
        <f t="array" aca="1" ref="Z61" ca="1">SUMPRODUCT(
  (Data[Track]=Z$36)*
  (Data[Adopt Rebate Opt-In Status]="Opted In")*
  (Data[Stage]="Eligible")*
  (
    ((Data[Stage Completion Date (Purchase)]&gt;=$Q61)*(Data[Stage Completion Date (Purchase)]&lt;EDATE($Q61,1)))+
    ((Data[Stage Completion Date(onboard)]&gt;=$Q61)*(Data[Stage Completion Date(onboard)]&lt;EDATE($Q61,1)))+
    ((Data[Stage Completion Date (Implement)]&gt;=$Q61)*(Data[Stage Completion Date (Implement)]&lt;EDATE($Q61,1)))+
    ((Data[Stage Completion Date(Use)]&gt;=$Q61)*(Data[Stage Completion Date(Use)]&lt;EDATE($Q61,1)))+
    ((Data[Stage Completion Date(Engage)]&gt;=$Q61)*(Data[Stage Completion Date(Engage)]&lt;EDATE($Q61,1)))+
    ((Data[Stage Completion Date(Adopt)]&gt;=$Q61)*(Data[Stage Completion Date(Adopt)]&lt;EDATE($Q61,1)))
    &gt;0
  )
)</f>
        <v>0</v>
      </c>
      <c r="AA61" s="193" cm="1">
        <f t="array" aca="1" ref="AA61" ca="1">SUMPRODUCT(
  (Data[Track]=AA$36)*
  (Data[Adopt Rebate Opt-In Status]="Opted In")*
  (Data[Stage]="Eligible")*
  (
    ((Data[Stage Completion Date (Purchase)]&gt;=$Q61)*(Data[Stage Completion Date (Purchase)]&lt;EDATE($Q61,1)))+
    ((Data[Stage Completion Date(onboard)]&gt;=$Q61)*(Data[Stage Completion Date(onboard)]&lt;EDATE($Q61,1)))+
    ((Data[Stage Completion Date (Implement)]&gt;=$Q61)*(Data[Stage Completion Date (Implement)]&lt;EDATE($Q61,1)))+
    ((Data[Stage Completion Date(Use)]&gt;=$Q61)*(Data[Stage Completion Date(Use)]&lt;EDATE($Q61,1)))+
    ((Data[Stage Completion Date(Engage)]&gt;=$Q61)*(Data[Stage Completion Date(Engage)]&lt;EDATE($Q61,1)))+
    ((Data[Stage Completion Date(Adopt)]&gt;=$Q61)*(Data[Stage Completion Date(Adopt)]&lt;EDATE($Q61,1)))
    &gt;0
  )
)</f>
        <v>0</v>
      </c>
      <c r="AB61" s="193" cm="1">
        <f t="array" aca="1" ref="AB61" ca="1">SUMPRODUCT(
  (Data[Track]=AB$36)*
  (Data[Adopt Rebate Opt-In Status]="Opted In")*
  (Data[Stage]="Eligible")*
  (
    ((Data[Stage Completion Date (Purchase)]&gt;=$Q61)*(Data[Stage Completion Date (Purchase)]&lt;EDATE($Q61,1)))+
    ((Data[Stage Completion Date(onboard)]&gt;=$Q61)*(Data[Stage Completion Date(onboard)]&lt;EDATE($Q61,1)))+
    ((Data[Stage Completion Date (Implement)]&gt;=$Q61)*(Data[Stage Completion Date (Implement)]&lt;EDATE($Q61,1)))+
    ((Data[Stage Completion Date(Use)]&gt;=$Q61)*(Data[Stage Completion Date(Use)]&lt;EDATE($Q61,1)))+
    ((Data[Stage Completion Date(Engage)]&gt;=$Q61)*(Data[Stage Completion Date(Engage)]&lt;EDATE($Q61,1)))+
    ((Data[Stage Completion Date(Adopt)]&gt;=$Q61)*(Data[Stage Completion Date(Adopt)]&lt;EDATE($Q61,1)))
    &gt;0
  )
)</f>
        <v>0</v>
      </c>
      <c r="AC61" s="193" cm="1">
        <f t="array" aca="1" ref="AC61" ca="1">SUMPRODUCT(
  (Data[Track]=AC$36)*
  (Data[Adopt Rebate Opt-In Status]="Opted In")*
  (Data[Stage]="Eligible")*
  (
    ((Data[Stage Completion Date (Purchase)]&gt;=$Q61)*(Data[Stage Completion Date (Purchase)]&lt;EDATE($Q61,1)))+
    ((Data[Stage Completion Date(onboard)]&gt;=$Q61)*(Data[Stage Completion Date(onboard)]&lt;EDATE($Q61,1)))+
    ((Data[Stage Completion Date (Implement)]&gt;=$Q61)*(Data[Stage Completion Date (Implement)]&lt;EDATE($Q61,1)))+
    ((Data[Stage Completion Date(Use)]&gt;=$Q61)*(Data[Stage Completion Date(Use)]&lt;EDATE($Q61,1)))+
    ((Data[Stage Completion Date(Engage)]&gt;=$Q61)*(Data[Stage Completion Date(Engage)]&lt;EDATE($Q61,1)))+
    ((Data[Stage Completion Date(Adopt)]&gt;=$Q61)*(Data[Stage Completion Date(Adopt)]&lt;EDATE($Q61,1)))
    &gt;0
  )
)</f>
        <v>0</v>
      </c>
      <c r="AD61" s="194" cm="1">
        <f t="array" aca="1" ref="AD61" ca="1">SUM(_xlfn._xlws.FILTER($R61:$AC61, ISNUMBER(MATCH(_xlfn.ANCHORARRAY($R$36), _xlfn._xlws.FILTER(Hierarchy[[Offer]:[Offer]], Hierarchy[[Domain]:[Domain]]=AD$36), 0)), 0))</f>
        <v>0</v>
      </c>
      <c r="AE61" s="194" cm="1">
        <f t="array" aca="1" ref="AE61" ca="1">SUM(_xlfn._xlws.FILTER($R61:$AC61, ISNUMBER(MATCH(_xlfn.ANCHORARRAY($R$36), _xlfn._xlws.FILTER(Hierarchy[[Offer]:[Offer]], Hierarchy[[Domain]:[Domain]]=AE$36), 0)), 0))</f>
        <v>0</v>
      </c>
      <c r="AF61" s="194" cm="1">
        <f t="array" aca="1" ref="AF61" ca="1">SUM(_xlfn._xlws.FILTER($R61:$AC61, ISNUMBER(MATCH(_xlfn.ANCHORARRAY($R$36), _xlfn._xlws.FILTER(Hierarchy[[Offer]:[Offer]], Hierarchy[[Domain]:[Domain]]=AF$36), 0)), 0))</f>
        <v>0</v>
      </c>
      <c r="AG61" s="194" cm="1">
        <f t="array" aca="1" ref="AG61" ca="1">SUM(_xlfn._xlws.FILTER($R61:$AC61, ISNUMBER(MATCH(_xlfn.ANCHORARRAY($R$36), _xlfn._xlws.FILTER(Hierarchy[[Offer]:[Offer]], Hierarchy[[Domain]:[Domain]]=AG$36), 0)), 0))</f>
        <v>0</v>
      </c>
    </row>
    <row r="62" spans="4:33" x14ac:dyDescent="0.4">
      <c r="Q62" s="192">
        <f ca="1"/>
        <v>46113</v>
      </c>
      <c r="R62" s="193" cm="1">
        <f t="array" aca="1" ref="R62" ca="1">SUMPRODUCT(
  (Data[Track]=R$36)*
  (Data[Adopt Rebate Opt-In Status]="Opted In")*
  (Data[Stage]="Eligible")*
  (
    ((Data[Stage Completion Date (Purchase)]&gt;=$Q62)*(Data[Stage Completion Date (Purchase)]&lt;EDATE($Q62,1)))+
    ((Data[Stage Completion Date(onboard)]&gt;=$Q62)*(Data[Stage Completion Date(onboard)]&lt;EDATE($Q62,1)))+
    ((Data[Stage Completion Date (Implement)]&gt;=$Q62)*(Data[Stage Completion Date (Implement)]&lt;EDATE($Q62,1)))+
    ((Data[Stage Completion Date(Use)]&gt;=$Q62)*(Data[Stage Completion Date(Use)]&lt;EDATE($Q62,1)))+
    ((Data[Stage Completion Date(Engage)]&gt;=$Q62)*(Data[Stage Completion Date(Engage)]&lt;EDATE($Q62,1)))+
    ((Data[Stage Completion Date(Adopt)]&gt;=$Q62)*(Data[Stage Completion Date(Adopt)]&lt;EDATE($Q62,1)))
    &gt;0
  )
)</f>
        <v>0</v>
      </c>
      <c r="S62" s="193" cm="1">
        <f t="array" aca="1" ref="S62" ca="1">SUMPRODUCT(
  (Data[Track]=S$36)*
  (Data[Adopt Rebate Opt-In Status]="Opted In")*
  (Data[Stage]="Eligible")*
  (
    ((Data[Stage Completion Date (Purchase)]&gt;=$Q62)*(Data[Stage Completion Date (Purchase)]&lt;EDATE($Q62,1)))+
    ((Data[Stage Completion Date(onboard)]&gt;=$Q62)*(Data[Stage Completion Date(onboard)]&lt;EDATE($Q62,1)))+
    ((Data[Stage Completion Date (Implement)]&gt;=$Q62)*(Data[Stage Completion Date (Implement)]&lt;EDATE($Q62,1)))+
    ((Data[Stage Completion Date(Use)]&gt;=$Q62)*(Data[Stage Completion Date(Use)]&lt;EDATE($Q62,1)))+
    ((Data[Stage Completion Date(Engage)]&gt;=$Q62)*(Data[Stage Completion Date(Engage)]&lt;EDATE($Q62,1)))+
    ((Data[Stage Completion Date(Adopt)]&gt;=$Q62)*(Data[Stage Completion Date(Adopt)]&lt;EDATE($Q62,1)))
    &gt;0
  )
)</f>
        <v>0</v>
      </c>
      <c r="T62" s="193" cm="1">
        <f t="array" aca="1" ref="T62" ca="1">SUMPRODUCT(
  (Data[Track]=T$36)*
  (Data[Adopt Rebate Opt-In Status]="Opted In")*
  (Data[Stage]="Eligible")*
  (
    ((Data[Stage Completion Date (Purchase)]&gt;=$Q62)*(Data[Stage Completion Date (Purchase)]&lt;EDATE($Q62,1)))+
    ((Data[Stage Completion Date(onboard)]&gt;=$Q62)*(Data[Stage Completion Date(onboard)]&lt;EDATE($Q62,1)))+
    ((Data[Stage Completion Date (Implement)]&gt;=$Q62)*(Data[Stage Completion Date (Implement)]&lt;EDATE($Q62,1)))+
    ((Data[Stage Completion Date(Use)]&gt;=$Q62)*(Data[Stage Completion Date(Use)]&lt;EDATE($Q62,1)))+
    ((Data[Stage Completion Date(Engage)]&gt;=$Q62)*(Data[Stage Completion Date(Engage)]&lt;EDATE($Q62,1)))+
    ((Data[Stage Completion Date(Adopt)]&gt;=$Q62)*(Data[Stage Completion Date(Adopt)]&lt;EDATE($Q62,1)))
    &gt;0
  )
)</f>
        <v>0</v>
      </c>
      <c r="U62" s="193" cm="1">
        <f t="array" aca="1" ref="U62" ca="1">SUMPRODUCT(
  (Data[Track]=U$36)*
  (Data[Adopt Rebate Opt-In Status]="Opted In")*
  (Data[Stage]="Eligible")*
  (
    ((Data[Stage Completion Date (Purchase)]&gt;=$Q62)*(Data[Stage Completion Date (Purchase)]&lt;EDATE($Q62,1)))+
    ((Data[Stage Completion Date(onboard)]&gt;=$Q62)*(Data[Stage Completion Date(onboard)]&lt;EDATE($Q62,1)))+
    ((Data[Stage Completion Date (Implement)]&gt;=$Q62)*(Data[Stage Completion Date (Implement)]&lt;EDATE($Q62,1)))+
    ((Data[Stage Completion Date(Use)]&gt;=$Q62)*(Data[Stage Completion Date(Use)]&lt;EDATE($Q62,1)))+
    ((Data[Stage Completion Date(Engage)]&gt;=$Q62)*(Data[Stage Completion Date(Engage)]&lt;EDATE($Q62,1)))+
    ((Data[Stage Completion Date(Adopt)]&gt;=$Q62)*(Data[Stage Completion Date(Adopt)]&lt;EDATE($Q62,1)))
    &gt;0
  )
)</f>
        <v>0</v>
      </c>
      <c r="V62" s="193" cm="1">
        <f t="array" aca="1" ref="V62" ca="1">SUMPRODUCT(
  (Data[Track]=V$36)*
  (Data[Adopt Rebate Opt-In Status]="Opted In")*
  (Data[Stage]="Eligible")*
  (
    ((Data[Stage Completion Date (Purchase)]&gt;=$Q62)*(Data[Stage Completion Date (Purchase)]&lt;EDATE($Q62,1)))+
    ((Data[Stage Completion Date(onboard)]&gt;=$Q62)*(Data[Stage Completion Date(onboard)]&lt;EDATE($Q62,1)))+
    ((Data[Stage Completion Date (Implement)]&gt;=$Q62)*(Data[Stage Completion Date (Implement)]&lt;EDATE($Q62,1)))+
    ((Data[Stage Completion Date(Use)]&gt;=$Q62)*(Data[Stage Completion Date(Use)]&lt;EDATE($Q62,1)))+
    ((Data[Stage Completion Date(Engage)]&gt;=$Q62)*(Data[Stage Completion Date(Engage)]&lt;EDATE($Q62,1)))+
    ((Data[Stage Completion Date(Adopt)]&gt;=$Q62)*(Data[Stage Completion Date(Adopt)]&lt;EDATE($Q62,1)))
    &gt;0
  )
)</f>
        <v>0</v>
      </c>
      <c r="W62" s="193" cm="1">
        <f t="array" aca="1" ref="W62" ca="1">SUMPRODUCT(
  (Data[Track]=W$36)*
  (Data[Adopt Rebate Opt-In Status]="Opted In")*
  (Data[Stage]="Eligible")*
  (
    ((Data[Stage Completion Date (Purchase)]&gt;=$Q62)*(Data[Stage Completion Date (Purchase)]&lt;EDATE($Q62,1)))+
    ((Data[Stage Completion Date(onboard)]&gt;=$Q62)*(Data[Stage Completion Date(onboard)]&lt;EDATE($Q62,1)))+
    ((Data[Stage Completion Date (Implement)]&gt;=$Q62)*(Data[Stage Completion Date (Implement)]&lt;EDATE($Q62,1)))+
    ((Data[Stage Completion Date(Use)]&gt;=$Q62)*(Data[Stage Completion Date(Use)]&lt;EDATE($Q62,1)))+
    ((Data[Stage Completion Date(Engage)]&gt;=$Q62)*(Data[Stage Completion Date(Engage)]&lt;EDATE($Q62,1)))+
    ((Data[Stage Completion Date(Adopt)]&gt;=$Q62)*(Data[Stage Completion Date(Adopt)]&lt;EDATE($Q62,1)))
    &gt;0
  )
)</f>
        <v>0</v>
      </c>
      <c r="X62" s="193" cm="1">
        <f t="array" aca="1" ref="X62" ca="1">SUMPRODUCT(
  (Data[Track]=X$36)*
  (Data[Adopt Rebate Opt-In Status]="Opted In")*
  (Data[Stage]="Eligible")*
  (
    ((Data[Stage Completion Date (Purchase)]&gt;=$Q62)*(Data[Stage Completion Date (Purchase)]&lt;EDATE($Q62,1)))+
    ((Data[Stage Completion Date(onboard)]&gt;=$Q62)*(Data[Stage Completion Date(onboard)]&lt;EDATE($Q62,1)))+
    ((Data[Stage Completion Date (Implement)]&gt;=$Q62)*(Data[Stage Completion Date (Implement)]&lt;EDATE($Q62,1)))+
    ((Data[Stage Completion Date(Use)]&gt;=$Q62)*(Data[Stage Completion Date(Use)]&lt;EDATE($Q62,1)))+
    ((Data[Stage Completion Date(Engage)]&gt;=$Q62)*(Data[Stage Completion Date(Engage)]&lt;EDATE($Q62,1)))+
    ((Data[Stage Completion Date(Adopt)]&gt;=$Q62)*(Data[Stage Completion Date(Adopt)]&lt;EDATE($Q62,1)))
    &gt;0
  )
)</f>
        <v>0</v>
      </c>
      <c r="Y62" s="193" cm="1">
        <f t="array" aca="1" ref="Y62" ca="1">SUMPRODUCT(
  (Data[Track]=Y$36)*
  (Data[Adopt Rebate Opt-In Status]="Opted In")*
  (Data[Stage]="Eligible")*
  (
    ((Data[Stage Completion Date (Purchase)]&gt;=$Q62)*(Data[Stage Completion Date (Purchase)]&lt;EDATE($Q62,1)))+
    ((Data[Stage Completion Date(onboard)]&gt;=$Q62)*(Data[Stage Completion Date(onboard)]&lt;EDATE($Q62,1)))+
    ((Data[Stage Completion Date (Implement)]&gt;=$Q62)*(Data[Stage Completion Date (Implement)]&lt;EDATE($Q62,1)))+
    ((Data[Stage Completion Date(Use)]&gt;=$Q62)*(Data[Stage Completion Date(Use)]&lt;EDATE($Q62,1)))+
    ((Data[Stage Completion Date(Engage)]&gt;=$Q62)*(Data[Stage Completion Date(Engage)]&lt;EDATE($Q62,1)))+
    ((Data[Stage Completion Date(Adopt)]&gt;=$Q62)*(Data[Stage Completion Date(Adopt)]&lt;EDATE($Q62,1)))
    &gt;0
  )
)</f>
        <v>0</v>
      </c>
      <c r="Z62" s="193" cm="1">
        <f t="array" aca="1" ref="Z62" ca="1">SUMPRODUCT(
  (Data[Track]=Z$36)*
  (Data[Adopt Rebate Opt-In Status]="Opted In")*
  (Data[Stage]="Eligible")*
  (
    ((Data[Stage Completion Date (Purchase)]&gt;=$Q62)*(Data[Stage Completion Date (Purchase)]&lt;EDATE($Q62,1)))+
    ((Data[Stage Completion Date(onboard)]&gt;=$Q62)*(Data[Stage Completion Date(onboard)]&lt;EDATE($Q62,1)))+
    ((Data[Stage Completion Date (Implement)]&gt;=$Q62)*(Data[Stage Completion Date (Implement)]&lt;EDATE($Q62,1)))+
    ((Data[Stage Completion Date(Use)]&gt;=$Q62)*(Data[Stage Completion Date(Use)]&lt;EDATE($Q62,1)))+
    ((Data[Stage Completion Date(Engage)]&gt;=$Q62)*(Data[Stage Completion Date(Engage)]&lt;EDATE($Q62,1)))+
    ((Data[Stage Completion Date(Adopt)]&gt;=$Q62)*(Data[Stage Completion Date(Adopt)]&lt;EDATE($Q62,1)))
    &gt;0
  )
)</f>
        <v>0</v>
      </c>
      <c r="AA62" s="193" cm="1">
        <f t="array" aca="1" ref="AA62" ca="1">SUMPRODUCT(
  (Data[Track]=AA$36)*
  (Data[Adopt Rebate Opt-In Status]="Opted In")*
  (Data[Stage]="Eligible")*
  (
    ((Data[Stage Completion Date (Purchase)]&gt;=$Q62)*(Data[Stage Completion Date (Purchase)]&lt;EDATE($Q62,1)))+
    ((Data[Stage Completion Date(onboard)]&gt;=$Q62)*(Data[Stage Completion Date(onboard)]&lt;EDATE($Q62,1)))+
    ((Data[Stage Completion Date (Implement)]&gt;=$Q62)*(Data[Stage Completion Date (Implement)]&lt;EDATE($Q62,1)))+
    ((Data[Stage Completion Date(Use)]&gt;=$Q62)*(Data[Stage Completion Date(Use)]&lt;EDATE($Q62,1)))+
    ((Data[Stage Completion Date(Engage)]&gt;=$Q62)*(Data[Stage Completion Date(Engage)]&lt;EDATE($Q62,1)))+
    ((Data[Stage Completion Date(Adopt)]&gt;=$Q62)*(Data[Stage Completion Date(Adopt)]&lt;EDATE($Q62,1)))
    &gt;0
  )
)</f>
        <v>0</v>
      </c>
      <c r="AB62" s="193" cm="1">
        <f t="array" aca="1" ref="AB62" ca="1">SUMPRODUCT(
  (Data[Track]=AB$36)*
  (Data[Adopt Rebate Opt-In Status]="Opted In")*
  (Data[Stage]="Eligible")*
  (
    ((Data[Stage Completion Date (Purchase)]&gt;=$Q62)*(Data[Stage Completion Date (Purchase)]&lt;EDATE($Q62,1)))+
    ((Data[Stage Completion Date(onboard)]&gt;=$Q62)*(Data[Stage Completion Date(onboard)]&lt;EDATE($Q62,1)))+
    ((Data[Stage Completion Date (Implement)]&gt;=$Q62)*(Data[Stage Completion Date (Implement)]&lt;EDATE($Q62,1)))+
    ((Data[Stage Completion Date(Use)]&gt;=$Q62)*(Data[Stage Completion Date(Use)]&lt;EDATE($Q62,1)))+
    ((Data[Stage Completion Date(Engage)]&gt;=$Q62)*(Data[Stage Completion Date(Engage)]&lt;EDATE($Q62,1)))+
    ((Data[Stage Completion Date(Adopt)]&gt;=$Q62)*(Data[Stage Completion Date(Adopt)]&lt;EDATE($Q62,1)))
    &gt;0
  )
)</f>
        <v>0</v>
      </c>
      <c r="AC62" s="193" cm="1">
        <f t="array" aca="1" ref="AC62" ca="1">SUMPRODUCT(
  (Data[Track]=AC$36)*
  (Data[Adopt Rebate Opt-In Status]="Opted In")*
  (Data[Stage]="Eligible")*
  (
    ((Data[Stage Completion Date (Purchase)]&gt;=$Q62)*(Data[Stage Completion Date (Purchase)]&lt;EDATE($Q62,1)))+
    ((Data[Stage Completion Date(onboard)]&gt;=$Q62)*(Data[Stage Completion Date(onboard)]&lt;EDATE($Q62,1)))+
    ((Data[Stage Completion Date (Implement)]&gt;=$Q62)*(Data[Stage Completion Date (Implement)]&lt;EDATE($Q62,1)))+
    ((Data[Stage Completion Date(Use)]&gt;=$Q62)*(Data[Stage Completion Date(Use)]&lt;EDATE($Q62,1)))+
    ((Data[Stage Completion Date(Engage)]&gt;=$Q62)*(Data[Stage Completion Date(Engage)]&lt;EDATE($Q62,1)))+
    ((Data[Stage Completion Date(Adopt)]&gt;=$Q62)*(Data[Stage Completion Date(Adopt)]&lt;EDATE($Q62,1)))
    &gt;0
  )
)</f>
        <v>0</v>
      </c>
      <c r="AD62" s="194" cm="1">
        <f t="array" aca="1" ref="AD62" ca="1">SUM(_xlfn._xlws.FILTER($R62:$AC62, ISNUMBER(MATCH(_xlfn.ANCHORARRAY($R$36), _xlfn._xlws.FILTER(Hierarchy[[Offer]:[Offer]], Hierarchy[[Domain]:[Domain]]=AD$36), 0)), 0))</f>
        <v>0</v>
      </c>
      <c r="AE62" s="194" cm="1">
        <f t="array" aca="1" ref="AE62" ca="1">SUM(_xlfn._xlws.FILTER($R62:$AC62, ISNUMBER(MATCH(_xlfn.ANCHORARRAY($R$36), _xlfn._xlws.FILTER(Hierarchy[[Offer]:[Offer]], Hierarchy[[Domain]:[Domain]]=AE$36), 0)), 0))</f>
        <v>0</v>
      </c>
      <c r="AF62" s="194" cm="1">
        <f t="array" aca="1" ref="AF62" ca="1">SUM(_xlfn._xlws.FILTER($R62:$AC62, ISNUMBER(MATCH(_xlfn.ANCHORARRAY($R$36), _xlfn._xlws.FILTER(Hierarchy[[Offer]:[Offer]], Hierarchy[[Domain]:[Domain]]=AF$36), 0)), 0))</f>
        <v>0</v>
      </c>
      <c r="AG62" s="194" cm="1">
        <f t="array" aca="1" ref="AG62" ca="1">SUM(_xlfn._xlws.FILTER($R62:$AC62, ISNUMBER(MATCH(_xlfn.ANCHORARRAY($R$36), _xlfn._xlws.FILTER(Hierarchy[[Offer]:[Offer]], Hierarchy[[Domain]:[Domain]]=AG$36), 0)), 0))</f>
        <v>0</v>
      </c>
    </row>
    <row r="63" spans="4:33" x14ac:dyDescent="0.4">
      <c r="Q63" s="192">
        <f ca="1"/>
        <v>46082</v>
      </c>
      <c r="R63" s="193" cm="1">
        <f t="array" aca="1" ref="R63" ca="1">SUMPRODUCT(
  (Data[Track]=R$36)*
  (Data[Adopt Rebate Opt-In Status]="Opted In")*
  (Data[Stage]="Eligible")*
  (
    ((Data[Stage Completion Date (Purchase)]&gt;=$Q63)*(Data[Stage Completion Date (Purchase)]&lt;EDATE($Q63,1)))+
    ((Data[Stage Completion Date(onboard)]&gt;=$Q63)*(Data[Stage Completion Date(onboard)]&lt;EDATE($Q63,1)))+
    ((Data[Stage Completion Date (Implement)]&gt;=$Q63)*(Data[Stage Completion Date (Implement)]&lt;EDATE($Q63,1)))+
    ((Data[Stage Completion Date(Use)]&gt;=$Q63)*(Data[Stage Completion Date(Use)]&lt;EDATE($Q63,1)))+
    ((Data[Stage Completion Date(Engage)]&gt;=$Q63)*(Data[Stage Completion Date(Engage)]&lt;EDATE($Q63,1)))+
    ((Data[Stage Completion Date(Adopt)]&gt;=$Q63)*(Data[Stage Completion Date(Adopt)]&lt;EDATE($Q63,1)))
    &gt;0
  )
)</f>
        <v>0</v>
      </c>
      <c r="S63" s="193" cm="1">
        <f t="array" aca="1" ref="S63" ca="1">SUMPRODUCT(
  (Data[Track]=S$36)*
  (Data[Adopt Rebate Opt-In Status]="Opted In")*
  (Data[Stage]="Eligible")*
  (
    ((Data[Stage Completion Date (Purchase)]&gt;=$Q63)*(Data[Stage Completion Date (Purchase)]&lt;EDATE($Q63,1)))+
    ((Data[Stage Completion Date(onboard)]&gt;=$Q63)*(Data[Stage Completion Date(onboard)]&lt;EDATE($Q63,1)))+
    ((Data[Stage Completion Date (Implement)]&gt;=$Q63)*(Data[Stage Completion Date (Implement)]&lt;EDATE($Q63,1)))+
    ((Data[Stage Completion Date(Use)]&gt;=$Q63)*(Data[Stage Completion Date(Use)]&lt;EDATE($Q63,1)))+
    ((Data[Stage Completion Date(Engage)]&gt;=$Q63)*(Data[Stage Completion Date(Engage)]&lt;EDATE($Q63,1)))+
    ((Data[Stage Completion Date(Adopt)]&gt;=$Q63)*(Data[Stage Completion Date(Adopt)]&lt;EDATE($Q63,1)))
    &gt;0
  )
)</f>
        <v>0</v>
      </c>
      <c r="T63" s="193" cm="1">
        <f t="array" aca="1" ref="T63" ca="1">SUMPRODUCT(
  (Data[Track]=T$36)*
  (Data[Adopt Rebate Opt-In Status]="Opted In")*
  (Data[Stage]="Eligible")*
  (
    ((Data[Stage Completion Date (Purchase)]&gt;=$Q63)*(Data[Stage Completion Date (Purchase)]&lt;EDATE($Q63,1)))+
    ((Data[Stage Completion Date(onboard)]&gt;=$Q63)*(Data[Stage Completion Date(onboard)]&lt;EDATE($Q63,1)))+
    ((Data[Stage Completion Date (Implement)]&gt;=$Q63)*(Data[Stage Completion Date (Implement)]&lt;EDATE($Q63,1)))+
    ((Data[Stage Completion Date(Use)]&gt;=$Q63)*(Data[Stage Completion Date(Use)]&lt;EDATE($Q63,1)))+
    ((Data[Stage Completion Date(Engage)]&gt;=$Q63)*(Data[Stage Completion Date(Engage)]&lt;EDATE($Q63,1)))+
    ((Data[Stage Completion Date(Adopt)]&gt;=$Q63)*(Data[Stage Completion Date(Adopt)]&lt;EDATE($Q63,1)))
    &gt;0
  )
)</f>
        <v>0</v>
      </c>
      <c r="U63" s="193" cm="1">
        <f t="array" aca="1" ref="U63" ca="1">SUMPRODUCT(
  (Data[Track]=U$36)*
  (Data[Adopt Rebate Opt-In Status]="Opted In")*
  (Data[Stage]="Eligible")*
  (
    ((Data[Stage Completion Date (Purchase)]&gt;=$Q63)*(Data[Stage Completion Date (Purchase)]&lt;EDATE($Q63,1)))+
    ((Data[Stage Completion Date(onboard)]&gt;=$Q63)*(Data[Stage Completion Date(onboard)]&lt;EDATE($Q63,1)))+
    ((Data[Stage Completion Date (Implement)]&gt;=$Q63)*(Data[Stage Completion Date (Implement)]&lt;EDATE($Q63,1)))+
    ((Data[Stage Completion Date(Use)]&gt;=$Q63)*(Data[Stage Completion Date(Use)]&lt;EDATE($Q63,1)))+
    ((Data[Stage Completion Date(Engage)]&gt;=$Q63)*(Data[Stage Completion Date(Engage)]&lt;EDATE($Q63,1)))+
    ((Data[Stage Completion Date(Adopt)]&gt;=$Q63)*(Data[Stage Completion Date(Adopt)]&lt;EDATE($Q63,1)))
    &gt;0
  )
)</f>
        <v>0</v>
      </c>
      <c r="V63" s="193" cm="1">
        <f t="array" aca="1" ref="V63" ca="1">SUMPRODUCT(
  (Data[Track]=V$36)*
  (Data[Adopt Rebate Opt-In Status]="Opted In")*
  (Data[Stage]="Eligible")*
  (
    ((Data[Stage Completion Date (Purchase)]&gt;=$Q63)*(Data[Stage Completion Date (Purchase)]&lt;EDATE($Q63,1)))+
    ((Data[Stage Completion Date(onboard)]&gt;=$Q63)*(Data[Stage Completion Date(onboard)]&lt;EDATE($Q63,1)))+
    ((Data[Stage Completion Date (Implement)]&gt;=$Q63)*(Data[Stage Completion Date (Implement)]&lt;EDATE($Q63,1)))+
    ((Data[Stage Completion Date(Use)]&gt;=$Q63)*(Data[Stage Completion Date(Use)]&lt;EDATE($Q63,1)))+
    ((Data[Stage Completion Date(Engage)]&gt;=$Q63)*(Data[Stage Completion Date(Engage)]&lt;EDATE($Q63,1)))+
    ((Data[Stage Completion Date(Adopt)]&gt;=$Q63)*(Data[Stage Completion Date(Adopt)]&lt;EDATE($Q63,1)))
    &gt;0
  )
)</f>
        <v>0</v>
      </c>
      <c r="W63" s="193" cm="1">
        <f t="array" aca="1" ref="W63" ca="1">SUMPRODUCT(
  (Data[Track]=W$36)*
  (Data[Adopt Rebate Opt-In Status]="Opted In")*
  (Data[Stage]="Eligible")*
  (
    ((Data[Stage Completion Date (Purchase)]&gt;=$Q63)*(Data[Stage Completion Date (Purchase)]&lt;EDATE($Q63,1)))+
    ((Data[Stage Completion Date(onboard)]&gt;=$Q63)*(Data[Stage Completion Date(onboard)]&lt;EDATE($Q63,1)))+
    ((Data[Stage Completion Date (Implement)]&gt;=$Q63)*(Data[Stage Completion Date (Implement)]&lt;EDATE($Q63,1)))+
    ((Data[Stage Completion Date(Use)]&gt;=$Q63)*(Data[Stage Completion Date(Use)]&lt;EDATE($Q63,1)))+
    ((Data[Stage Completion Date(Engage)]&gt;=$Q63)*(Data[Stage Completion Date(Engage)]&lt;EDATE($Q63,1)))+
    ((Data[Stage Completion Date(Adopt)]&gt;=$Q63)*(Data[Stage Completion Date(Adopt)]&lt;EDATE($Q63,1)))
    &gt;0
  )
)</f>
        <v>0</v>
      </c>
      <c r="X63" s="193" cm="1">
        <f t="array" aca="1" ref="X63" ca="1">SUMPRODUCT(
  (Data[Track]=X$36)*
  (Data[Adopt Rebate Opt-In Status]="Opted In")*
  (Data[Stage]="Eligible")*
  (
    ((Data[Stage Completion Date (Purchase)]&gt;=$Q63)*(Data[Stage Completion Date (Purchase)]&lt;EDATE($Q63,1)))+
    ((Data[Stage Completion Date(onboard)]&gt;=$Q63)*(Data[Stage Completion Date(onboard)]&lt;EDATE($Q63,1)))+
    ((Data[Stage Completion Date (Implement)]&gt;=$Q63)*(Data[Stage Completion Date (Implement)]&lt;EDATE($Q63,1)))+
    ((Data[Stage Completion Date(Use)]&gt;=$Q63)*(Data[Stage Completion Date(Use)]&lt;EDATE($Q63,1)))+
    ((Data[Stage Completion Date(Engage)]&gt;=$Q63)*(Data[Stage Completion Date(Engage)]&lt;EDATE($Q63,1)))+
    ((Data[Stage Completion Date(Adopt)]&gt;=$Q63)*(Data[Stage Completion Date(Adopt)]&lt;EDATE($Q63,1)))
    &gt;0
  )
)</f>
        <v>0</v>
      </c>
      <c r="Y63" s="193" cm="1">
        <f t="array" aca="1" ref="Y63" ca="1">SUMPRODUCT(
  (Data[Track]=Y$36)*
  (Data[Adopt Rebate Opt-In Status]="Opted In")*
  (Data[Stage]="Eligible")*
  (
    ((Data[Stage Completion Date (Purchase)]&gt;=$Q63)*(Data[Stage Completion Date (Purchase)]&lt;EDATE($Q63,1)))+
    ((Data[Stage Completion Date(onboard)]&gt;=$Q63)*(Data[Stage Completion Date(onboard)]&lt;EDATE($Q63,1)))+
    ((Data[Stage Completion Date (Implement)]&gt;=$Q63)*(Data[Stage Completion Date (Implement)]&lt;EDATE($Q63,1)))+
    ((Data[Stage Completion Date(Use)]&gt;=$Q63)*(Data[Stage Completion Date(Use)]&lt;EDATE($Q63,1)))+
    ((Data[Stage Completion Date(Engage)]&gt;=$Q63)*(Data[Stage Completion Date(Engage)]&lt;EDATE($Q63,1)))+
    ((Data[Stage Completion Date(Adopt)]&gt;=$Q63)*(Data[Stage Completion Date(Adopt)]&lt;EDATE($Q63,1)))
    &gt;0
  )
)</f>
        <v>0</v>
      </c>
      <c r="Z63" s="193" cm="1">
        <f t="array" aca="1" ref="Z63" ca="1">SUMPRODUCT(
  (Data[Track]=Z$36)*
  (Data[Adopt Rebate Opt-In Status]="Opted In")*
  (Data[Stage]="Eligible")*
  (
    ((Data[Stage Completion Date (Purchase)]&gt;=$Q63)*(Data[Stage Completion Date (Purchase)]&lt;EDATE($Q63,1)))+
    ((Data[Stage Completion Date(onboard)]&gt;=$Q63)*(Data[Stage Completion Date(onboard)]&lt;EDATE($Q63,1)))+
    ((Data[Stage Completion Date (Implement)]&gt;=$Q63)*(Data[Stage Completion Date (Implement)]&lt;EDATE($Q63,1)))+
    ((Data[Stage Completion Date(Use)]&gt;=$Q63)*(Data[Stage Completion Date(Use)]&lt;EDATE($Q63,1)))+
    ((Data[Stage Completion Date(Engage)]&gt;=$Q63)*(Data[Stage Completion Date(Engage)]&lt;EDATE($Q63,1)))+
    ((Data[Stage Completion Date(Adopt)]&gt;=$Q63)*(Data[Stage Completion Date(Adopt)]&lt;EDATE($Q63,1)))
    &gt;0
  )
)</f>
        <v>0</v>
      </c>
      <c r="AA63" s="193" cm="1">
        <f t="array" aca="1" ref="AA63" ca="1">SUMPRODUCT(
  (Data[Track]=AA$36)*
  (Data[Adopt Rebate Opt-In Status]="Opted In")*
  (Data[Stage]="Eligible")*
  (
    ((Data[Stage Completion Date (Purchase)]&gt;=$Q63)*(Data[Stage Completion Date (Purchase)]&lt;EDATE($Q63,1)))+
    ((Data[Stage Completion Date(onboard)]&gt;=$Q63)*(Data[Stage Completion Date(onboard)]&lt;EDATE($Q63,1)))+
    ((Data[Stage Completion Date (Implement)]&gt;=$Q63)*(Data[Stage Completion Date (Implement)]&lt;EDATE($Q63,1)))+
    ((Data[Stage Completion Date(Use)]&gt;=$Q63)*(Data[Stage Completion Date(Use)]&lt;EDATE($Q63,1)))+
    ((Data[Stage Completion Date(Engage)]&gt;=$Q63)*(Data[Stage Completion Date(Engage)]&lt;EDATE($Q63,1)))+
    ((Data[Stage Completion Date(Adopt)]&gt;=$Q63)*(Data[Stage Completion Date(Adopt)]&lt;EDATE($Q63,1)))
    &gt;0
  )
)</f>
        <v>0</v>
      </c>
      <c r="AB63" s="193" cm="1">
        <f t="array" aca="1" ref="AB63" ca="1">SUMPRODUCT(
  (Data[Track]=AB$36)*
  (Data[Adopt Rebate Opt-In Status]="Opted In")*
  (Data[Stage]="Eligible")*
  (
    ((Data[Stage Completion Date (Purchase)]&gt;=$Q63)*(Data[Stage Completion Date (Purchase)]&lt;EDATE($Q63,1)))+
    ((Data[Stage Completion Date(onboard)]&gt;=$Q63)*(Data[Stage Completion Date(onboard)]&lt;EDATE($Q63,1)))+
    ((Data[Stage Completion Date (Implement)]&gt;=$Q63)*(Data[Stage Completion Date (Implement)]&lt;EDATE($Q63,1)))+
    ((Data[Stage Completion Date(Use)]&gt;=$Q63)*(Data[Stage Completion Date(Use)]&lt;EDATE($Q63,1)))+
    ((Data[Stage Completion Date(Engage)]&gt;=$Q63)*(Data[Stage Completion Date(Engage)]&lt;EDATE($Q63,1)))+
    ((Data[Stage Completion Date(Adopt)]&gt;=$Q63)*(Data[Stage Completion Date(Adopt)]&lt;EDATE($Q63,1)))
    &gt;0
  )
)</f>
        <v>0</v>
      </c>
      <c r="AC63" s="193" cm="1">
        <f t="array" aca="1" ref="AC63" ca="1">SUMPRODUCT(
  (Data[Track]=AC$36)*
  (Data[Adopt Rebate Opt-In Status]="Opted In")*
  (Data[Stage]="Eligible")*
  (
    ((Data[Stage Completion Date (Purchase)]&gt;=$Q63)*(Data[Stage Completion Date (Purchase)]&lt;EDATE($Q63,1)))+
    ((Data[Stage Completion Date(onboard)]&gt;=$Q63)*(Data[Stage Completion Date(onboard)]&lt;EDATE($Q63,1)))+
    ((Data[Stage Completion Date (Implement)]&gt;=$Q63)*(Data[Stage Completion Date (Implement)]&lt;EDATE($Q63,1)))+
    ((Data[Stage Completion Date(Use)]&gt;=$Q63)*(Data[Stage Completion Date(Use)]&lt;EDATE($Q63,1)))+
    ((Data[Stage Completion Date(Engage)]&gt;=$Q63)*(Data[Stage Completion Date(Engage)]&lt;EDATE($Q63,1)))+
    ((Data[Stage Completion Date(Adopt)]&gt;=$Q63)*(Data[Stage Completion Date(Adopt)]&lt;EDATE($Q63,1)))
    &gt;0
  )
)</f>
        <v>0</v>
      </c>
      <c r="AD63" s="194" cm="1">
        <f t="array" aca="1" ref="AD63" ca="1">SUM(_xlfn._xlws.FILTER($R63:$AC63, ISNUMBER(MATCH(_xlfn.ANCHORARRAY($R$36), _xlfn._xlws.FILTER(Hierarchy[[Offer]:[Offer]], Hierarchy[[Domain]:[Domain]]=AD$36), 0)), 0))</f>
        <v>0</v>
      </c>
      <c r="AE63" s="194" cm="1">
        <f t="array" aca="1" ref="AE63" ca="1">SUM(_xlfn._xlws.FILTER($R63:$AC63, ISNUMBER(MATCH(_xlfn.ANCHORARRAY($R$36), _xlfn._xlws.FILTER(Hierarchy[[Offer]:[Offer]], Hierarchy[[Domain]:[Domain]]=AE$36), 0)), 0))</f>
        <v>0</v>
      </c>
      <c r="AF63" s="194" cm="1">
        <f t="array" aca="1" ref="AF63" ca="1">SUM(_xlfn._xlws.FILTER($R63:$AC63, ISNUMBER(MATCH(_xlfn.ANCHORARRAY($R$36), _xlfn._xlws.FILTER(Hierarchy[[Offer]:[Offer]], Hierarchy[[Domain]:[Domain]]=AF$36), 0)), 0))</f>
        <v>0</v>
      </c>
      <c r="AG63" s="194" cm="1">
        <f t="array" aca="1" ref="AG63" ca="1">SUM(_xlfn._xlws.FILTER($R63:$AC63, ISNUMBER(MATCH(_xlfn.ANCHORARRAY($R$36), _xlfn._xlws.FILTER(Hierarchy[[Offer]:[Offer]], Hierarchy[[Domain]:[Domain]]=AG$36), 0)), 0))</f>
        <v>0</v>
      </c>
    </row>
    <row r="64" spans="4:33" x14ac:dyDescent="0.4">
      <c r="Q64" s="192">
        <f ca="1"/>
        <v>46054</v>
      </c>
      <c r="R64" s="193" cm="1">
        <f t="array" aca="1" ref="R64" ca="1">SUMPRODUCT(
  (Data[Track]=R$36)*
  (Data[Adopt Rebate Opt-In Status]="Opted In")*
  (Data[Stage]="Eligible")*
  (
    ((Data[Stage Completion Date (Purchase)]&gt;=$Q64)*(Data[Stage Completion Date (Purchase)]&lt;EDATE($Q64,1)))+
    ((Data[Stage Completion Date(onboard)]&gt;=$Q64)*(Data[Stage Completion Date(onboard)]&lt;EDATE($Q64,1)))+
    ((Data[Stage Completion Date (Implement)]&gt;=$Q64)*(Data[Stage Completion Date (Implement)]&lt;EDATE($Q64,1)))+
    ((Data[Stage Completion Date(Use)]&gt;=$Q64)*(Data[Stage Completion Date(Use)]&lt;EDATE($Q64,1)))+
    ((Data[Stage Completion Date(Engage)]&gt;=$Q64)*(Data[Stage Completion Date(Engage)]&lt;EDATE($Q64,1)))+
    ((Data[Stage Completion Date(Adopt)]&gt;=$Q64)*(Data[Stage Completion Date(Adopt)]&lt;EDATE($Q64,1)))
    &gt;0
  )
)</f>
        <v>0</v>
      </c>
      <c r="S64" s="193" cm="1">
        <f t="array" aca="1" ref="S64" ca="1">SUMPRODUCT(
  (Data[Track]=S$36)*
  (Data[Adopt Rebate Opt-In Status]="Opted In")*
  (Data[Stage]="Eligible")*
  (
    ((Data[Stage Completion Date (Purchase)]&gt;=$Q64)*(Data[Stage Completion Date (Purchase)]&lt;EDATE($Q64,1)))+
    ((Data[Stage Completion Date(onboard)]&gt;=$Q64)*(Data[Stage Completion Date(onboard)]&lt;EDATE($Q64,1)))+
    ((Data[Stage Completion Date (Implement)]&gt;=$Q64)*(Data[Stage Completion Date (Implement)]&lt;EDATE($Q64,1)))+
    ((Data[Stage Completion Date(Use)]&gt;=$Q64)*(Data[Stage Completion Date(Use)]&lt;EDATE($Q64,1)))+
    ((Data[Stage Completion Date(Engage)]&gt;=$Q64)*(Data[Stage Completion Date(Engage)]&lt;EDATE($Q64,1)))+
    ((Data[Stage Completion Date(Adopt)]&gt;=$Q64)*(Data[Stage Completion Date(Adopt)]&lt;EDATE($Q64,1)))
    &gt;0
  )
)</f>
        <v>0</v>
      </c>
      <c r="T64" s="193" cm="1">
        <f t="array" aca="1" ref="T64" ca="1">SUMPRODUCT(
  (Data[Track]=T$36)*
  (Data[Adopt Rebate Opt-In Status]="Opted In")*
  (Data[Stage]="Eligible")*
  (
    ((Data[Stage Completion Date (Purchase)]&gt;=$Q64)*(Data[Stage Completion Date (Purchase)]&lt;EDATE($Q64,1)))+
    ((Data[Stage Completion Date(onboard)]&gt;=$Q64)*(Data[Stage Completion Date(onboard)]&lt;EDATE($Q64,1)))+
    ((Data[Stage Completion Date (Implement)]&gt;=$Q64)*(Data[Stage Completion Date (Implement)]&lt;EDATE($Q64,1)))+
    ((Data[Stage Completion Date(Use)]&gt;=$Q64)*(Data[Stage Completion Date(Use)]&lt;EDATE($Q64,1)))+
    ((Data[Stage Completion Date(Engage)]&gt;=$Q64)*(Data[Stage Completion Date(Engage)]&lt;EDATE($Q64,1)))+
    ((Data[Stage Completion Date(Adopt)]&gt;=$Q64)*(Data[Stage Completion Date(Adopt)]&lt;EDATE($Q64,1)))
    &gt;0
  )
)</f>
        <v>0</v>
      </c>
      <c r="U64" s="193" cm="1">
        <f t="array" aca="1" ref="U64" ca="1">SUMPRODUCT(
  (Data[Track]=U$36)*
  (Data[Adopt Rebate Opt-In Status]="Opted In")*
  (Data[Stage]="Eligible")*
  (
    ((Data[Stage Completion Date (Purchase)]&gt;=$Q64)*(Data[Stage Completion Date (Purchase)]&lt;EDATE($Q64,1)))+
    ((Data[Stage Completion Date(onboard)]&gt;=$Q64)*(Data[Stage Completion Date(onboard)]&lt;EDATE($Q64,1)))+
    ((Data[Stage Completion Date (Implement)]&gt;=$Q64)*(Data[Stage Completion Date (Implement)]&lt;EDATE($Q64,1)))+
    ((Data[Stage Completion Date(Use)]&gt;=$Q64)*(Data[Stage Completion Date(Use)]&lt;EDATE($Q64,1)))+
    ((Data[Stage Completion Date(Engage)]&gt;=$Q64)*(Data[Stage Completion Date(Engage)]&lt;EDATE($Q64,1)))+
    ((Data[Stage Completion Date(Adopt)]&gt;=$Q64)*(Data[Stage Completion Date(Adopt)]&lt;EDATE($Q64,1)))
    &gt;0
  )
)</f>
        <v>0</v>
      </c>
      <c r="V64" s="193" cm="1">
        <f t="array" aca="1" ref="V64" ca="1">SUMPRODUCT(
  (Data[Track]=V$36)*
  (Data[Adopt Rebate Opt-In Status]="Opted In")*
  (Data[Stage]="Eligible")*
  (
    ((Data[Stage Completion Date (Purchase)]&gt;=$Q64)*(Data[Stage Completion Date (Purchase)]&lt;EDATE($Q64,1)))+
    ((Data[Stage Completion Date(onboard)]&gt;=$Q64)*(Data[Stage Completion Date(onboard)]&lt;EDATE($Q64,1)))+
    ((Data[Stage Completion Date (Implement)]&gt;=$Q64)*(Data[Stage Completion Date (Implement)]&lt;EDATE($Q64,1)))+
    ((Data[Stage Completion Date(Use)]&gt;=$Q64)*(Data[Stage Completion Date(Use)]&lt;EDATE($Q64,1)))+
    ((Data[Stage Completion Date(Engage)]&gt;=$Q64)*(Data[Stage Completion Date(Engage)]&lt;EDATE($Q64,1)))+
    ((Data[Stage Completion Date(Adopt)]&gt;=$Q64)*(Data[Stage Completion Date(Adopt)]&lt;EDATE($Q64,1)))
    &gt;0
  )
)</f>
        <v>0</v>
      </c>
      <c r="W64" s="193" cm="1">
        <f t="array" aca="1" ref="W64" ca="1">SUMPRODUCT(
  (Data[Track]=W$36)*
  (Data[Adopt Rebate Opt-In Status]="Opted In")*
  (Data[Stage]="Eligible")*
  (
    ((Data[Stage Completion Date (Purchase)]&gt;=$Q64)*(Data[Stage Completion Date (Purchase)]&lt;EDATE($Q64,1)))+
    ((Data[Stage Completion Date(onboard)]&gt;=$Q64)*(Data[Stage Completion Date(onboard)]&lt;EDATE($Q64,1)))+
    ((Data[Stage Completion Date (Implement)]&gt;=$Q64)*(Data[Stage Completion Date (Implement)]&lt;EDATE($Q64,1)))+
    ((Data[Stage Completion Date(Use)]&gt;=$Q64)*(Data[Stage Completion Date(Use)]&lt;EDATE($Q64,1)))+
    ((Data[Stage Completion Date(Engage)]&gt;=$Q64)*(Data[Stage Completion Date(Engage)]&lt;EDATE($Q64,1)))+
    ((Data[Stage Completion Date(Adopt)]&gt;=$Q64)*(Data[Stage Completion Date(Adopt)]&lt;EDATE($Q64,1)))
    &gt;0
  )
)</f>
        <v>0</v>
      </c>
      <c r="X64" s="193" cm="1">
        <f t="array" aca="1" ref="X64" ca="1">SUMPRODUCT(
  (Data[Track]=X$36)*
  (Data[Adopt Rebate Opt-In Status]="Opted In")*
  (Data[Stage]="Eligible")*
  (
    ((Data[Stage Completion Date (Purchase)]&gt;=$Q64)*(Data[Stage Completion Date (Purchase)]&lt;EDATE($Q64,1)))+
    ((Data[Stage Completion Date(onboard)]&gt;=$Q64)*(Data[Stage Completion Date(onboard)]&lt;EDATE($Q64,1)))+
    ((Data[Stage Completion Date (Implement)]&gt;=$Q64)*(Data[Stage Completion Date (Implement)]&lt;EDATE($Q64,1)))+
    ((Data[Stage Completion Date(Use)]&gt;=$Q64)*(Data[Stage Completion Date(Use)]&lt;EDATE($Q64,1)))+
    ((Data[Stage Completion Date(Engage)]&gt;=$Q64)*(Data[Stage Completion Date(Engage)]&lt;EDATE($Q64,1)))+
    ((Data[Stage Completion Date(Adopt)]&gt;=$Q64)*(Data[Stage Completion Date(Adopt)]&lt;EDATE($Q64,1)))
    &gt;0
  )
)</f>
        <v>0</v>
      </c>
      <c r="Y64" s="193" cm="1">
        <f t="array" aca="1" ref="Y64" ca="1">SUMPRODUCT(
  (Data[Track]=Y$36)*
  (Data[Adopt Rebate Opt-In Status]="Opted In")*
  (Data[Stage]="Eligible")*
  (
    ((Data[Stage Completion Date (Purchase)]&gt;=$Q64)*(Data[Stage Completion Date (Purchase)]&lt;EDATE($Q64,1)))+
    ((Data[Stage Completion Date(onboard)]&gt;=$Q64)*(Data[Stage Completion Date(onboard)]&lt;EDATE($Q64,1)))+
    ((Data[Stage Completion Date (Implement)]&gt;=$Q64)*(Data[Stage Completion Date (Implement)]&lt;EDATE($Q64,1)))+
    ((Data[Stage Completion Date(Use)]&gt;=$Q64)*(Data[Stage Completion Date(Use)]&lt;EDATE($Q64,1)))+
    ((Data[Stage Completion Date(Engage)]&gt;=$Q64)*(Data[Stage Completion Date(Engage)]&lt;EDATE($Q64,1)))+
    ((Data[Stage Completion Date(Adopt)]&gt;=$Q64)*(Data[Stage Completion Date(Adopt)]&lt;EDATE($Q64,1)))
    &gt;0
  )
)</f>
        <v>0</v>
      </c>
      <c r="Z64" s="193" cm="1">
        <f t="array" aca="1" ref="Z64" ca="1">SUMPRODUCT(
  (Data[Track]=Z$36)*
  (Data[Adopt Rebate Opt-In Status]="Opted In")*
  (Data[Stage]="Eligible")*
  (
    ((Data[Stage Completion Date (Purchase)]&gt;=$Q64)*(Data[Stage Completion Date (Purchase)]&lt;EDATE($Q64,1)))+
    ((Data[Stage Completion Date(onboard)]&gt;=$Q64)*(Data[Stage Completion Date(onboard)]&lt;EDATE($Q64,1)))+
    ((Data[Stage Completion Date (Implement)]&gt;=$Q64)*(Data[Stage Completion Date (Implement)]&lt;EDATE($Q64,1)))+
    ((Data[Stage Completion Date(Use)]&gt;=$Q64)*(Data[Stage Completion Date(Use)]&lt;EDATE($Q64,1)))+
    ((Data[Stage Completion Date(Engage)]&gt;=$Q64)*(Data[Stage Completion Date(Engage)]&lt;EDATE($Q64,1)))+
    ((Data[Stage Completion Date(Adopt)]&gt;=$Q64)*(Data[Stage Completion Date(Adopt)]&lt;EDATE($Q64,1)))
    &gt;0
  )
)</f>
        <v>0</v>
      </c>
      <c r="AA64" s="193" cm="1">
        <f t="array" aca="1" ref="AA64" ca="1">SUMPRODUCT(
  (Data[Track]=AA$36)*
  (Data[Adopt Rebate Opt-In Status]="Opted In")*
  (Data[Stage]="Eligible")*
  (
    ((Data[Stage Completion Date (Purchase)]&gt;=$Q64)*(Data[Stage Completion Date (Purchase)]&lt;EDATE($Q64,1)))+
    ((Data[Stage Completion Date(onboard)]&gt;=$Q64)*(Data[Stage Completion Date(onboard)]&lt;EDATE($Q64,1)))+
    ((Data[Stage Completion Date (Implement)]&gt;=$Q64)*(Data[Stage Completion Date (Implement)]&lt;EDATE($Q64,1)))+
    ((Data[Stage Completion Date(Use)]&gt;=$Q64)*(Data[Stage Completion Date(Use)]&lt;EDATE($Q64,1)))+
    ((Data[Stage Completion Date(Engage)]&gt;=$Q64)*(Data[Stage Completion Date(Engage)]&lt;EDATE($Q64,1)))+
    ((Data[Stage Completion Date(Adopt)]&gt;=$Q64)*(Data[Stage Completion Date(Adopt)]&lt;EDATE($Q64,1)))
    &gt;0
  )
)</f>
        <v>0</v>
      </c>
      <c r="AB64" s="193" cm="1">
        <f t="array" aca="1" ref="AB64" ca="1">SUMPRODUCT(
  (Data[Track]=AB$36)*
  (Data[Adopt Rebate Opt-In Status]="Opted In")*
  (Data[Stage]="Eligible")*
  (
    ((Data[Stage Completion Date (Purchase)]&gt;=$Q64)*(Data[Stage Completion Date (Purchase)]&lt;EDATE($Q64,1)))+
    ((Data[Stage Completion Date(onboard)]&gt;=$Q64)*(Data[Stage Completion Date(onboard)]&lt;EDATE($Q64,1)))+
    ((Data[Stage Completion Date (Implement)]&gt;=$Q64)*(Data[Stage Completion Date (Implement)]&lt;EDATE($Q64,1)))+
    ((Data[Stage Completion Date(Use)]&gt;=$Q64)*(Data[Stage Completion Date(Use)]&lt;EDATE($Q64,1)))+
    ((Data[Stage Completion Date(Engage)]&gt;=$Q64)*(Data[Stage Completion Date(Engage)]&lt;EDATE($Q64,1)))+
    ((Data[Stage Completion Date(Adopt)]&gt;=$Q64)*(Data[Stage Completion Date(Adopt)]&lt;EDATE($Q64,1)))
    &gt;0
  )
)</f>
        <v>0</v>
      </c>
      <c r="AC64" s="193" cm="1">
        <f t="array" aca="1" ref="AC64" ca="1">SUMPRODUCT(
  (Data[Track]=AC$36)*
  (Data[Adopt Rebate Opt-In Status]="Opted In")*
  (Data[Stage]="Eligible")*
  (
    ((Data[Stage Completion Date (Purchase)]&gt;=$Q64)*(Data[Stage Completion Date (Purchase)]&lt;EDATE($Q64,1)))+
    ((Data[Stage Completion Date(onboard)]&gt;=$Q64)*(Data[Stage Completion Date(onboard)]&lt;EDATE($Q64,1)))+
    ((Data[Stage Completion Date (Implement)]&gt;=$Q64)*(Data[Stage Completion Date (Implement)]&lt;EDATE($Q64,1)))+
    ((Data[Stage Completion Date(Use)]&gt;=$Q64)*(Data[Stage Completion Date(Use)]&lt;EDATE($Q64,1)))+
    ((Data[Stage Completion Date(Engage)]&gt;=$Q64)*(Data[Stage Completion Date(Engage)]&lt;EDATE($Q64,1)))+
    ((Data[Stage Completion Date(Adopt)]&gt;=$Q64)*(Data[Stage Completion Date(Adopt)]&lt;EDATE($Q64,1)))
    &gt;0
  )
)</f>
        <v>0</v>
      </c>
      <c r="AD64" s="194" cm="1">
        <f t="array" aca="1" ref="AD64" ca="1">SUM(_xlfn._xlws.FILTER($R64:$AC64, ISNUMBER(MATCH(_xlfn.ANCHORARRAY($R$36), _xlfn._xlws.FILTER(Hierarchy[[Offer]:[Offer]], Hierarchy[[Domain]:[Domain]]=AD$36), 0)), 0))</f>
        <v>0</v>
      </c>
      <c r="AE64" s="194" cm="1">
        <f t="array" aca="1" ref="AE64" ca="1">SUM(_xlfn._xlws.FILTER($R64:$AC64, ISNUMBER(MATCH(_xlfn.ANCHORARRAY($R$36), _xlfn._xlws.FILTER(Hierarchy[[Offer]:[Offer]], Hierarchy[[Domain]:[Domain]]=AE$36), 0)), 0))</f>
        <v>0</v>
      </c>
      <c r="AF64" s="194" cm="1">
        <f t="array" aca="1" ref="AF64" ca="1">SUM(_xlfn._xlws.FILTER($R64:$AC64, ISNUMBER(MATCH(_xlfn.ANCHORARRAY($R$36), _xlfn._xlws.FILTER(Hierarchy[[Offer]:[Offer]], Hierarchy[[Domain]:[Domain]]=AF$36), 0)), 0))</f>
        <v>0</v>
      </c>
      <c r="AG64" s="194" cm="1">
        <f t="array" aca="1" ref="AG64" ca="1">SUM(_xlfn._xlws.FILTER($R64:$AC64, ISNUMBER(MATCH(_xlfn.ANCHORARRAY($R$36), _xlfn._xlws.FILTER(Hierarchy[[Offer]:[Offer]], Hierarchy[[Domain]:[Domain]]=AG$36), 0)), 0))</f>
        <v>0</v>
      </c>
    </row>
    <row r="65" spans="17:33" x14ac:dyDescent="0.4">
      <c r="Q65" s="192">
        <f ca="1"/>
        <v>46023</v>
      </c>
      <c r="R65" s="193" cm="1">
        <f t="array" aca="1" ref="R65" ca="1">SUMPRODUCT(
  (Data[Track]=R$36)*
  (Data[Adopt Rebate Opt-In Status]="Opted In")*
  (Data[Stage]="Eligible")*
  (
    ((Data[Stage Completion Date (Purchase)]&gt;=$Q65)*(Data[Stage Completion Date (Purchase)]&lt;EDATE($Q65,1)))+
    ((Data[Stage Completion Date(onboard)]&gt;=$Q65)*(Data[Stage Completion Date(onboard)]&lt;EDATE($Q65,1)))+
    ((Data[Stage Completion Date (Implement)]&gt;=$Q65)*(Data[Stage Completion Date (Implement)]&lt;EDATE($Q65,1)))+
    ((Data[Stage Completion Date(Use)]&gt;=$Q65)*(Data[Stage Completion Date(Use)]&lt;EDATE($Q65,1)))+
    ((Data[Stage Completion Date(Engage)]&gt;=$Q65)*(Data[Stage Completion Date(Engage)]&lt;EDATE($Q65,1)))+
    ((Data[Stage Completion Date(Adopt)]&gt;=$Q65)*(Data[Stage Completion Date(Adopt)]&lt;EDATE($Q65,1)))
    &gt;0
  )
)</f>
        <v>0</v>
      </c>
      <c r="S65" s="193" cm="1">
        <f t="array" aca="1" ref="S65" ca="1">SUMPRODUCT(
  (Data[Track]=S$36)*
  (Data[Adopt Rebate Opt-In Status]="Opted In")*
  (Data[Stage]="Eligible")*
  (
    ((Data[Stage Completion Date (Purchase)]&gt;=$Q65)*(Data[Stage Completion Date (Purchase)]&lt;EDATE($Q65,1)))+
    ((Data[Stage Completion Date(onboard)]&gt;=$Q65)*(Data[Stage Completion Date(onboard)]&lt;EDATE($Q65,1)))+
    ((Data[Stage Completion Date (Implement)]&gt;=$Q65)*(Data[Stage Completion Date (Implement)]&lt;EDATE($Q65,1)))+
    ((Data[Stage Completion Date(Use)]&gt;=$Q65)*(Data[Stage Completion Date(Use)]&lt;EDATE($Q65,1)))+
    ((Data[Stage Completion Date(Engage)]&gt;=$Q65)*(Data[Stage Completion Date(Engage)]&lt;EDATE($Q65,1)))+
    ((Data[Stage Completion Date(Adopt)]&gt;=$Q65)*(Data[Stage Completion Date(Adopt)]&lt;EDATE($Q65,1)))
    &gt;0
  )
)</f>
        <v>0</v>
      </c>
      <c r="T65" s="193" cm="1">
        <f t="array" aca="1" ref="T65" ca="1">SUMPRODUCT(
  (Data[Track]=T$36)*
  (Data[Adopt Rebate Opt-In Status]="Opted In")*
  (Data[Stage]="Eligible")*
  (
    ((Data[Stage Completion Date (Purchase)]&gt;=$Q65)*(Data[Stage Completion Date (Purchase)]&lt;EDATE($Q65,1)))+
    ((Data[Stage Completion Date(onboard)]&gt;=$Q65)*(Data[Stage Completion Date(onboard)]&lt;EDATE($Q65,1)))+
    ((Data[Stage Completion Date (Implement)]&gt;=$Q65)*(Data[Stage Completion Date (Implement)]&lt;EDATE($Q65,1)))+
    ((Data[Stage Completion Date(Use)]&gt;=$Q65)*(Data[Stage Completion Date(Use)]&lt;EDATE($Q65,1)))+
    ((Data[Stage Completion Date(Engage)]&gt;=$Q65)*(Data[Stage Completion Date(Engage)]&lt;EDATE($Q65,1)))+
    ((Data[Stage Completion Date(Adopt)]&gt;=$Q65)*(Data[Stage Completion Date(Adopt)]&lt;EDATE($Q65,1)))
    &gt;0
  )
)</f>
        <v>0</v>
      </c>
      <c r="U65" s="193" cm="1">
        <f t="array" aca="1" ref="U65" ca="1">SUMPRODUCT(
  (Data[Track]=U$36)*
  (Data[Adopt Rebate Opt-In Status]="Opted In")*
  (Data[Stage]="Eligible")*
  (
    ((Data[Stage Completion Date (Purchase)]&gt;=$Q65)*(Data[Stage Completion Date (Purchase)]&lt;EDATE($Q65,1)))+
    ((Data[Stage Completion Date(onboard)]&gt;=$Q65)*(Data[Stage Completion Date(onboard)]&lt;EDATE($Q65,1)))+
    ((Data[Stage Completion Date (Implement)]&gt;=$Q65)*(Data[Stage Completion Date (Implement)]&lt;EDATE($Q65,1)))+
    ((Data[Stage Completion Date(Use)]&gt;=$Q65)*(Data[Stage Completion Date(Use)]&lt;EDATE($Q65,1)))+
    ((Data[Stage Completion Date(Engage)]&gt;=$Q65)*(Data[Stage Completion Date(Engage)]&lt;EDATE($Q65,1)))+
    ((Data[Stage Completion Date(Adopt)]&gt;=$Q65)*(Data[Stage Completion Date(Adopt)]&lt;EDATE($Q65,1)))
    &gt;0
  )
)</f>
        <v>0</v>
      </c>
      <c r="V65" s="193" cm="1">
        <f t="array" aca="1" ref="V65" ca="1">SUMPRODUCT(
  (Data[Track]=V$36)*
  (Data[Adopt Rebate Opt-In Status]="Opted In")*
  (Data[Stage]="Eligible")*
  (
    ((Data[Stage Completion Date (Purchase)]&gt;=$Q65)*(Data[Stage Completion Date (Purchase)]&lt;EDATE($Q65,1)))+
    ((Data[Stage Completion Date(onboard)]&gt;=$Q65)*(Data[Stage Completion Date(onboard)]&lt;EDATE($Q65,1)))+
    ((Data[Stage Completion Date (Implement)]&gt;=$Q65)*(Data[Stage Completion Date (Implement)]&lt;EDATE($Q65,1)))+
    ((Data[Stage Completion Date(Use)]&gt;=$Q65)*(Data[Stage Completion Date(Use)]&lt;EDATE($Q65,1)))+
    ((Data[Stage Completion Date(Engage)]&gt;=$Q65)*(Data[Stage Completion Date(Engage)]&lt;EDATE($Q65,1)))+
    ((Data[Stage Completion Date(Adopt)]&gt;=$Q65)*(Data[Stage Completion Date(Adopt)]&lt;EDATE($Q65,1)))
    &gt;0
  )
)</f>
        <v>0</v>
      </c>
      <c r="W65" s="193" cm="1">
        <f t="array" aca="1" ref="W65" ca="1">SUMPRODUCT(
  (Data[Track]=W$36)*
  (Data[Adopt Rebate Opt-In Status]="Opted In")*
  (Data[Stage]="Eligible")*
  (
    ((Data[Stage Completion Date (Purchase)]&gt;=$Q65)*(Data[Stage Completion Date (Purchase)]&lt;EDATE($Q65,1)))+
    ((Data[Stage Completion Date(onboard)]&gt;=$Q65)*(Data[Stage Completion Date(onboard)]&lt;EDATE($Q65,1)))+
    ((Data[Stage Completion Date (Implement)]&gt;=$Q65)*(Data[Stage Completion Date (Implement)]&lt;EDATE($Q65,1)))+
    ((Data[Stage Completion Date(Use)]&gt;=$Q65)*(Data[Stage Completion Date(Use)]&lt;EDATE($Q65,1)))+
    ((Data[Stage Completion Date(Engage)]&gt;=$Q65)*(Data[Stage Completion Date(Engage)]&lt;EDATE($Q65,1)))+
    ((Data[Stage Completion Date(Adopt)]&gt;=$Q65)*(Data[Stage Completion Date(Adopt)]&lt;EDATE($Q65,1)))
    &gt;0
  )
)</f>
        <v>0</v>
      </c>
      <c r="X65" s="193" cm="1">
        <f t="array" aca="1" ref="X65" ca="1">SUMPRODUCT(
  (Data[Track]=X$36)*
  (Data[Adopt Rebate Opt-In Status]="Opted In")*
  (Data[Stage]="Eligible")*
  (
    ((Data[Stage Completion Date (Purchase)]&gt;=$Q65)*(Data[Stage Completion Date (Purchase)]&lt;EDATE($Q65,1)))+
    ((Data[Stage Completion Date(onboard)]&gt;=$Q65)*(Data[Stage Completion Date(onboard)]&lt;EDATE($Q65,1)))+
    ((Data[Stage Completion Date (Implement)]&gt;=$Q65)*(Data[Stage Completion Date (Implement)]&lt;EDATE($Q65,1)))+
    ((Data[Stage Completion Date(Use)]&gt;=$Q65)*(Data[Stage Completion Date(Use)]&lt;EDATE($Q65,1)))+
    ((Data[Stage Completion Date(Engage)]&gt;=$Q65)*(Data[Stage Completion Date(Engage)]&lt;EDATE($Q65,1)))+
    ((Data[Stage Completion Date(Adopt)]&gt;=$Q65)*(Data[Stage Completion Date(Adopt)]&lt;EDATE($Q65,1)))
    &gt;0
  )
)</f>
        <v>0</v>
      </c>
      <c r="Y65" s="193" cm="1">
        <f t="array" aca="1" ref="Y65" ca="1">SUMPRODUCT(
  (Data[Track]=Y$36)*
  (Data[Adopt Rebate Opt-In Status]="Opted In")*
  (Data[Stage]="Eligible")*
  (
    ((Data[Stage Completion Date (Purchase)]&gt;=$Q65)*(Data[Stage Completion Date (Purchase)]&lt;EDATE($Q65,1)))+
    ((Data[Stage Completion Date(onboard)]&gt;=$Q65)*(Data[Stage Completion Date(onboard)]&lt;EDATE($Q65,1)))+
    ((Data[Stage Completion Date (Implement)]&gt;=$Q65)*(Data[Stage Completion Date (Implement)]&lt;EDATE($Q65,1)))+
    ((Data[Stage Completion Date(Use)]&gt;=$Q65)*(Data[Stage Completion Date(Use)]&lt;EDATE($Q65,1)))+
    ((Data[Stage Completion Date(Engage)]&gt;=$Q65)*(Data[Stage Completion Date(Engage)]&lt;EDATE($Q65,1)))+
    ((Data[Stage Completion Date(Adopt)]&gt;=$Q65)*(Data[Stage Completion Date(Adopt)]&lt;EDATE($Q65,1)))
    &gt;0
  )
)</f>
        <v>0</v>
      </c>
      <c r="Z65" s="193" cm="1">
        <f t="array" aca="1" ref="Z65" ca="1">SUMPRODUCT(
  (Data[Track]=Z$36)*
  (Data[Adopt Rebate Opt-In Status]="Opted In")*
  (Data[Stage]="Eligible")*
  (
    ((Data[Stage Completion Date (Purchase)]&gt;=$Q65)*(Data[Stage Completion Date (Purchase)]&lt;EDATE($Q65,1)))+
    ((Data[Stage Completion Date(onboard)]&gt;=$Q65)*(Data[Stage Completion Date(onboard)]&lt;EDATE($Q65,1)))+
    ((Data[Stage Completion Date (Implement)]&gt;=$Q65)*(Data[Stage Completion Date (Implement)]&lt;EDATE($Q65,1)))+
    ((Data[Stage Completion Date(Use)]&gt;=$Q65)*(Data[Stage Completion Date(Use)]&lt;EDATE($Q65,1)))+
    ((Data[Stage Completion Date(Engage)]&gt;=$Q65)*(Data[Stage Completion Date(Engage)]&lt;EDATE($Q65,1)))+
    ((Data[Stage Completion Date(Adopt)]&gt;=$Q65)*(Data[Stage Completion Date(Adopt)]&lt;EDATE($Q65,1)))
    &gt;0
  )
)</f>
        <v>0</v>
      </c>
      <c r="AA65" s="193" cm="1">
        <f t="array" aca="1" ref="AA65" ca="1">SUMPRODUCT(
  (Data[Track]=AA$36)*
  (Data[Adopt Rebate Opt-In Status]="Opted In")*
  (Data[Stage]="Eligible")*
  (
    ((Data[Stage Completion Date (Purchase)]&gt;=$Q65)*(Data[Stage Completion Date (Purchase)]&lt;EDATE($Q65,1)))+
    ((Data[Stage Completion Date(onboard)]&gt;=$Q65)*(Data[Stage Completion Date(onboard)]&lt;EDATE($Q65,1)))+
    ((Data[Stage Completion Date (Implement)]&gt;=$Q65)*(Data[Stage Completion Date (Implement)]&lt;EDATE($Q65,1)))+
    ((Data[Stage Completion Date(Use)]&gt;=$Q65)*(Data[Stage Completion Date(Use)]&lt;EDATE($Q65,1)))+
    ((Data[Stage Completion Date(Engage)]&gt;=$Q65)*(Data[Stage Completion Date(Engage)]&lt;EDATE($Q65,1)))+
    ((Data[Stage Completion Date(Adopt)]&gt;=$Q65)*(Data[Stage Completion Date(Adopt)]&lt;EDATE($Q65,1)))
    &gt;0
  )
)</f>
        <v>0</v>
      </c>
      <c r="AB65" s="193" cm="1">
        <f t="array" aca="1" ref="AB65" ca="1">SUMPRODUCT(
  (Data[Track]=AB$36)*
  (Data[Adopt Rebate Opt-In Status]="Opted In")*
  (Data[Stage]="Eligible")*
  (
    ((Data[Stage Completion Date (Purchase)]&gt;=$Q65)*(Data[Stage Completion Date (Purchase)]&lt;EDATE($Q65,1)))+
    ((Data[Stage Completion Date(onboard)]&gt;=$Q65)*(Data[Stage Completion Date(onboard)]&lt;EDATE($Q65,1)))+
    ((Data[Stage Completion Date (Implement)]&gt;=$Q65)*(Data[Stage Completion Date (Implement)]&lt;EDATE($Q65,1)))+
    ((Data[Stage Completion Date(Use)]&gt;=$Q65)*(Data[Stage Completion Date(Use)]&lt;EDATE($Q65,1)))+
    ((Data[Stage Completion Date(Engage)]&gt;=$Q65)*(Data[Stage Completion Date(Engage)]&lt;EDATE($Q65,1)))+
    ((Data[Stage Completion Date(Adopt)]&gt;=$Q65)*(Data[Stage Completion Date(Adopt)]&lt;EDATE($Q65,1)))
    &gt;0
  )
)</f>
        <v>0</v>
      </c>
      <c r="AC65" s="193" cm="1">
        <f t="array" aca="1" ref="AC65" ca="1">SUMPRODUCT(
  (Data[Track]=AC$36)*
  (Data[Adopt Rebate Opt-In Status]="Opted In")*
  (Data[Stage]="Eligible")*
  (
    ((Data[Stage Completion Date (Purchase)]&gt;=$Q65)*(Data[Stage Completion Date (Purchase)]&lt;EDATE($Q65,1)))+
    ((Data[Stage Completion Date(onboard)]&gt;=$Q65)*(Data[Stage Completion Date(onboard)]&lt;EDATE($Q65,1)))+
    ((Data[Stage Completion Date (Implement)]&gt;=$Q65)*(Data[Stage Completion Date (Implement)]&lt;EDATE($Q65,1)))+
    ((Data[Stage Completion Date(Use)]&gt;=$Q65)*(Data[Stage Completion Date(Use)]&lt;EDATE($Q65,1)))+
    ((Data[Stage Completion Date(Engage)]&gt;=$Q65)*(Data[Stage Completion Date(Engage)]&lt;EDATE($Q65,1)))+
    ((Data[Stage Completion Date(Adopt)]&gt;=$Q65)*(Data[Stage Completion Date(Adopt)]&lt;EDATE($Q65,1)))
    &gt;0
  )
)</f>
        <v>0</v>
      </c>
      <c r="AD65" s="194" cm="1">
        <f t="array" aca="1" ref="AD65" ca="1">SUM(_xlfn._xlws.FILTER($R65:$AC65, ISNUMBER(MATCH(_xlfn.ANCHORARRAY($R$36), _xlfn._xlws.FILTER(Hierarchy[[Offer]:[Offer]], Hierarchy[[Domain]:[Domain]]=AD$36), 0)), 0))</f>
        <v>0</v>
      </c>
      <c r="AE65" s="194" cm="1">
        <f t="array" aca="1" ref="AE65" ca="1">SUM(_xlfn._xlws.FILTER($R65:$AC65, ISNUMBER(MATCH(_xlfn.ANCHORARRAY($R$36), _xlfn._xlws.FILTER(Hierarchy[[Offer]:[Offer]], Hierarchy[[Domain]:[Domain]]=AE$36), 0)), 0))</f>
        <v>0</v>
      </c>
      <c r="AF65" s="194" cm="1">
        <f t="array" aca="1" ref="AF65" ca="1">SUM(_xlfn._xlws.FILTER($R65:$AC65, ISNUMBER(MATCH(_xlfn.ANCHORARRAY($R$36), _xlfn._xlws.FILTER(Hierarchy[[Offer]:[Offer]], Hierarchy[[Domain]:[Domain]]=AF$36), 0)), 0))</f>
        <v>0</v>
      </c>
      <c r="AG65" s="194" cm="1">
        <f t="array" aca="1" ref="AG65" ca="1">SUM(_xlfn._xlws.FILTER($R65:$AC65, ISNUMBER(MATCH(_xlfn.ANCHORARRAY($R$36), _xlfn._xlws.FILTER(Hierarchy[[Offer]:[Offer]], Hierarchy[[Domain]:[Domain]]=AG$36), 0)), 0))</f>
        <v>0</v>
      </c>
    </row>
    <row r="66" spans="17:33" x14ac:dyDescent="0.4">
      <c r="Q66" s="192">
        <f ca="1"/>
        <v>45992</v>
      </c>
      <c r="R66" s="193" cm="1">
        <f t="array" aca="1" ref="R66" ca="1">SUMPRODUCT(
  (Data[Track]=R$36)*
  (Data[Adopt Rebate Opt-In Status]="Opted In")*
  (Data[Stage]="Eligible")*
  (
    ((Data[Stage Completion Date (Purchase)]&gt;=$Q66)*(Data[Stage Completion Date (Purchase)]&lt;EDATE($Q66,1)))+
    ((Data[Stage Completion Date(onboard)]&gt;=$Q66)*(Data[Stage Completion Date(onboard)]&lt;EDATE($Q66,1)))+
    ((Data[Stage Completion Date (Implement)]&gt;=$Q66)*(Data[Stage Completion Date (Implement)]&lt;EDATE($Q66,1)))+
    ((Data[Stage Completion Date(Use)]&gt;=$Q66)*(Data[Stage Completion Date(Use)]&lt;EDATE($Q66,1)))+
    ((Data[Stage Completion Date(Engage)]&gt;=$Q66)*(Data[Stage Completion Date(Engage)]&lt;EDATE($Q66,1)))+
    ((Data[Stage Completion Date(Adopt)]&gt;=$Q66)*(Data[Stage Completion Date(Adopt)]&lt;EDATE($Q66,1)))
    &gt;0
  )
)</f>
        <v>0</v>
      </c>
      <c r="S66" s="193" cm="1">
        <f t="array" aca="1" ref="S66" ca="1">SUMPRODUCT(
  (Data[Track]=S$36)*
  (Data[Adopt Rebate Opt-In Status]="Opted In")*
  (Data[Stage]="Eligible")*
  (
    ((Data[Stage Completion Date (Purchase)]&gt;=$Q66)*(Data[Stage Completion Date (Purchase)]&lt;EDATE($Q66,1)))+
    ((Data[Stage Completion Date(onboard)]&gt;=$Q66)*(Data[Stage Completion Date(onboard)]&lt;EDATE($Q66,1)))+
    ((Data[Stage Completion Date (Implement)]&gt;=$Q66)*(Data[Stage Completion Date (Implement)]&lt;EDATE($Q66,1)))+
    ((Data[Stage Completion Date(Use)]&gt;=$Q66)*(Data[Stage Completion Date(Use)]&lt;EDATE($Q66,1)))+
    ((Data[Stage Completion Date(Engage)]&gt;=$Q66)*(Data[Stage Completion Date(Engage)]&lt;EDATE($Q66,1)))+
    ((Data[Stage Completion Date(Adopt)]&gt;=$Q66)*(Data[Stage Completion Date(Adopt)]&lt;EDATE($Q66,1)))
    &gt;0
  )
)</f>
        <v>0</v>
      </c>
      <c r="T66" s="193" cm="1">
        <f t="array" aca="1" ref="T66" ca="1">SUMPRODUCT(
  (Data[Track]=T$36)*
  (Data[Adopt Rebate Opt-In Status]="Opted In")*
  (Data[Stage]="Eligible")*
  (
    ((Data[Stage Completion Date (Purchase)]&gt;=$Q66)*(Data[Stage Completion Date (Purchase)]&lt;EDATE($Q66,1)))+
    ((Data[Stage Completion Date(onboard)]&gt;=$Q66)*(Data[Stage Completion Date(onboard)]&lt;EDATE($Q66,1)))+
    ((Data[Stage Completion Date (Implement)]&gt;=$Q66)*(Data[Stage Completion Date (Implement)]&lt;EDATE($Q66,1)))+
    ((Data[Stage Completion Date(Use)]&gt;=$Q66)*(Data[Stage Completion Date(Use)]&lt;EDATE($Q66,1)))+
    ((Data[Stage Completion Date(Engage)]&gt;=$Q66)*(Data[Stage Completion Date(Engage)]&lt;EDATE($Q66,1)))+
    ((Data[Stage Completion Date(Adopt)]&gt;=$Q66)*(Data[Stage Completion Date(Adopt)]&lt;EDATE($Q66,1)))
    &gt;0
  )
)</f>
        <v>0</v>
      </c>
      <c r="U66" s="193" cm="1">
        <f t="array" aca="1" ref="U66" ca="1">SUMPRODUCT(
  (Data[Track]=U$36)*
  (Data[Adopt Rebate Opt-In Status]="Opted In")*
  (Data[Stage]="Eligible")*
  (
    ((Data[Stage Completion Date (Purchase)]&gt;=$Q66)*(Data[Stage Completion Date (Purchase)]&lt;EDATE($Q66,1)))+
    ((Data[Stage Completion Date(onboard)]&gt;=$Q66)*(Data[Stage Completion Date(onboard)]&lt;EDATE($Q66,1)))+
    ((Data[Stage Completion Date (Implement)]&gt;=$Q66)*(Data[Stage Completion Date (Implement)]&lt;EDATE($Q66,1)))+
    ((Data[Stage Completion Date(Use)]&gt;=$Q66)*(Data[Stage Completion Date(Use)]&lt;EDATE($Q66,1)))+
    ((Data[Stage Completion Date(Engage)]&gt;=$Q66)*(Data[Stage Completion Date(Engage)]&lt;EDATE($Q66,1)))+
    ((Data[Stage Completion Date(Adopt)]&gt;=$Q66)*(Data[Stage Completion Date(Adopt)]&lt;EDATE($Q66,1)))
    &gt;0
  )
)</f>
        <v>0</v>
      </c>
      <c r="V66" s="193" cm="1">
        <f t="array" aca="1" ref="V66" ca="1">SUMPRODUCT(
  (Data[Track]=V$36)*
  (Data[Adopt Rebate Opt-In Status]="Opted In")*
  (Data[Stage]="Eligible")*
  (
    ((Data[Stage Completion Date (Purchase)]&gt;=$Q66)*(Data[Stage Completion Date (Purchase)]&lt;EDATE($Q66,1)))+
    ((Data[Stage Completion Date(onboard)]&gt;=$Q66)*(Data[Stage Completion Date(onboard)]&lt;EDATE($Q66,1)))+
    ((Data[Stage Completion Date (Implement)]&gt;=$Q66)*(Data[Stage Completion Date (Implement)]&lt;EDATE($Q66,1)))+
    ((Data[Stage Completion Date(Use)]&gt;=$Q66)*(Data[Stage Completion Date(Use)]&lt;EDATE($Q66,1)))+
    ((Data[Stage Completion Date(Engage)]&gt;=$Q66)*(Data[Stage Completion Date(Engage)]&lt;EDATE($Q66,1)))+
    ((Data[Stage Completion Date(Adopt)]&gt;=$Q66)*(Data[Stage Completion Date(Adopt)]&lt;EDATE($Q66,1)))
    &gt;0
  )
)</f>
        <v>0</v>
      </c>
      <c r="W66" s="193" cm="1">
        <f t="array" aca="1" ref="W66" ca="1">SUMPRODUCT(
  (Data[Track]=W$36)*
  (Data[Adopt Rebate Opt-In Status]="Opted In")*
  (Data[Stage]="Eligible")*
  (
    ((Data[Stage Completion Date (Purchase)]&gt;=$Q66)*(Data[Stage Completion Date (Purchase)]&lt;EDATE($Q66,1)))+
    ((Data[Stage Completion Date(onboard)]&gt;=$Q66)*(Data[Stage Completion Date(onboard)]&lt;EDATE($Q66,1)))+
    ((Data[Stage Completion Date (Implement)]&gt;=$Q66)*(Data[Stage Completion Date (Implement)]&lt;EDATE($Q66,1)))+
    ((Data[Stage Completion Date(Use)]&gt;=$Q66)*(Data[Stage Completion Date(Use)]&lt;EDATE($Q66,1)))+
    ((Data[Stage Completion Date(Engage)]&gt;=$Q66)*(Data[Stage Completion Date(Engage)]&lt;EDATE($Q66,1)))+
    ((Data[Stage Completion Date(Adopt)]&gt;=$Q66)*(Data[Stage Completion Date(Adopt)]&lt;EDATE($Q66,1)))
    &gt;0
  )
)</f>
        <v>0</v>
      </c>
      <c r="X66" s="193" cm="1">
        <f t="array" aca="1" ref="X66" ca="1">SUMPRODUCT(
  (Data[Track]=X$36)*
  (Data[Adopt Rebate Opt-In Status]="Opted In")*
  (Data[Stage]="Eligible")*
  (
    ((Data[Stage Completion Date (Purchase)]&gt;=$Q66)*(Data[Stage Completion Date (Purchase)]&lt;EDATE($Q66,1)))+
    ((Data[Stage Completion Date(onboard)]&gt;=$Q66)*(Data[Stage Completion Date(onboard)]&lt;EDATE($Q66,1)))+
    ((Data[Stage Completion Date (Implement)]&gt;=$Q66)*(Data[Stage Completion Date (Implement)]&lt;EDATE($Q66,1)))+
    ((Data[Stage Completion Date(Use)]&gt;=$Q66)*(Data[Stage Completion Date(Use)]&lt;EDATE($Q66,1)))+
    ((Data[Stage Completion Date(Engage)]&gt;=$Q66)*(Data[Stage Completion Date(Engage)]&lt;EDATE($Q66,1)))+
    ((Data[Stage Completion Date(Adopt)]&gt;=$Q66)*(Data[Stage Completion Date(Adopt)]&lt;EDATE($Q66,1)))
    &gt;0
  )
)</f>
        <v>0</v>
      </c>
      <c r="Y66" s="193" cm="1">
        <f t="array" aca="1" ref="Y66" ca="1">SUMPRODUCT(
  (Data[Track]=Y$36)*
  (Data[Adopt Rebate Opt-In Status]="Opted In")*
  (Data[Stage]="Eligible")*
  (
    ((Data[Stage Completion Date (Purchase)]&gt;=$Q66)*(Data[Stage Completion Date (Purchase)]&lt;EDATE($Q66,1)))+
    ((Data[Stage Completion Date(onboard)]&gt;=$Q66)*(Data[Stage Completion Date(onboard)]&lt;EDATE($Q66,1)))+
    ((Data[Stage Completion Date (Implement)]&gt;=$Q66)*(Data[Stage Completion Date (Implement)]&lt;EDATE($Q66,1)))+
    ((Data[Stage Completion Date(Use)]&gt;=$Q66)*(Data[Stage Completion Date(Use)]&lt;EDATE($Q66,1)))+
    ((Data[Stage Completion Date(Engage)]&gt;=$Q66)*(Data[Stage Completion Date(Engage)]&lt;EDATE($Q66,1)))+
    ((Data[Stage Completion Date(Adopt)]&gt;=$Q66)*(Data[Stage Completion Date(Adopt)]&lt;EDATE($Q66,1)))
    &gt;0
  )
)</f>
        <v>0</v>
      </c>
      <c r="Z66" s="193" cm="1">
        <f t="array" aca="1" ref="Z66" ca="1">SUMPRODUCT(
  (Data[Track]=Z$36)*
  (Data[Adopt Rebate Opt-In Status]="Opted In")*
  (Data[Stage]="Eligible")*
  (
    ((Data[Stage Completion Date (Purchase)]&gt;=$Q66)*(Data[Stage Completion Date (Purchase)]&lt;EDATE($Q66,1)))+
    ((Data[Stage Completion Date(onboard)]&gt;=$Q66)*(Data[Stage Completion Date(onboard)]&lt;EDATE($Q66,1)))+
    ((Data[Stage Completion Date (Implement)]&gt;=$Q66)*(Data[Stage Completion Date (Implement)]&lt;EDATE($Q66,1)))+
    ((Data[Stage Completion Date(Use)]&gt;=$Q66)*(Data[Stage Completion Date(Use)]&lt;EDATE($Q66,1)))+
    ((Data[Stage Completion Date(Engage)]&gt;=$Q66)*(Data[Stage Completion Date(Engage)]&lt;EDATE($Q66,1)))+
    ((Data[Stage Completion Date(Adopt)]&gt;=$Q66)*(Data[Stage Completion Date(Adopt)]&lt;EDATE($Q66,1)))
    &gt;0
  )
)</f>
        <v>0</v>
      </c>
      <c r="AA66" s="193" cm="1">
        <f t="array" aca="1" ref="AA66" ca="1">SUMPRODUCT(
  (Data[Track]=AA$36)*
  (Data[Adopt Rebate Opt-In Status]="Opted In")*
  (Data[Stage]="Eligible")*
  (
    ((Data[Stage Completion Date (Purchase)]&gt;=$Q66)*(Data[Stage Completion Date (Purchase)]&lt;EDATE($Q66,1)))+
    ((Data[Stage Completion Date(onboard)]&gt;=$Q66)*(Data[Stage Completion Date(onboard)]&lt;EDATE($Q66,1)))+
    ((Data[Stage Completion Date (Implement)]&gt;=$Q66)*(Data[Stage Completion Date (Implement)]&lt;EDATE($Q66,1)))+
    ((Data[Stage Completion Date(Use)]&gt;=$Q66)*(Data[Stage Completion Date(Use)]&lt;EDATE($Q66,1)))+
    ((Data[Stage Completion Date(Engage)]&gt;=$Q66)*(Data[Stage Completion Date(Engage)]&lt;EDATE($Q66,1)))+
    ((Data[Stage Completion Date(Adopt)]&gt;=$Q66)*(Data[Stage Completion Date(Adopt)]&lt;EDATE($Q66,1)))
    &gt;0
  )
)</f>
        <v>0</v>
      </c>
      <c r="AB66" s="193" cm="1">
        <f t="array" aca="1" ref="AB66" ca="1">SUMPRODUCT(
  (Data[Track]=AB$36)*
  (Data[Adopt Rebate Opt-In Status]="Opted In")*
  (Data[Stage]="Eligible")*
  (
    ((Data[Stage Completion Date (Purchase)]&gt;=$Q66)*(Data[Stage Completion Date (Purchase)]&lt;EDATE($Q66,1)))+
    ((Data[Stage Completion Date(onboard)]&gt;=$Q66)*(Data[Stage Completion Date(onboard)]&lt;EDATE($Q66,1)))+
    ((Data[Stage Completion Date (Implement)]&gt;=$Q66)*(Data[Stage Completion Date (Implement)]&lt;EDATE($Q66,1)))+
    ((Data[Stage Completion Date(Use)]&gt;=$Q66)*(Data[Stage Completion Date(Use)]&lt;EDATE($Q66,1)))+
    ((Data[Stage Completion Date(Engage)]&gt;=$Q66)*(Data[Stage Completion Date(Engage)]&lt;EDATE($Q66,1)))+
    ((Data[Stage Completion Date(Adopt)]&gt;=$Q66)*(Data[Stage Completion Date(Adopt)]&lt;EDATE($Q66,1)))
    &gt;0
  )
)</f>
        <v>0</v>
      </c>
      <c r="AC66" s="193" cm="1">
        <f t="array" aca="1" ref="AC66" ca="1">SUMPRODUCT(
  (Data[Track]=AC$36)*
  (Data[Adopt Rebate Opt-In Status]="Opted In")*
  (Data[Stage]="Eligible")*
  (
    ((Data[Stage Completion Date (Purchase)]&gt;=$Q66)*(Data[Stage Completion Date (Purchase)]&lt;EDATE($Q66,1)))+
    ((Data[Stage Completion Date(onboard)]&gt;=$Q66)*(Data[Stage Completion Date(onboard)]&lt;EDATE($Q66,1)))+
    ((Data[Stage Completion Date (Implement)]&gt;=$Q66)*(Data[Stage Completion Date (Implement)]&lt;EDATE($Q66,1)))+
    ((Data[Stage Completion Date(Use)]&gt;=$Q66)*(Data[Stage Completion Date(Use)]&lt;EDATE($Q66,1)))+
    ((Data[Stage Completion Date(Engage)]&gt;=$Q66)*(Data[Stage Completion Date(Engage)]&lt;EDATE($Q66,1)))+
    ((Data[Stage Completion Date(Adopt)]&gt;=$Q66)*(Data[Stage Completion Date(Adopt)]&lt;EDATE($Q66,1)))
    &gt;0
  )
)</f>
        <v>0</v>
      </c>
      <c r="AD66" s="194" cm="1">
        <f t="array" aca="1" ref="AD66" ca="1">SUM(_xlfn._xlws.FILTER($R66:$AC66, ISNUMBER(MATCH(_xlfn.ANCHORARRAY($R$36), _xlfn._xlws.FILTER(Hierarchy[[Offer]:[Offer]], Hierarchy[[Domain]:[Domain]]=AD$36), 0)), 0))</f>
        <v>0</v>
      </c>
      <c r="AE66" s="194" cm="1">
        <f t="array" aca="1" ref="AE66" ca="1">SUM(_xlfn._xlws.FILTER($R66:$AC66, ISNUMBER(MATCH(_xlfn.ANCHORARRAY($R$36), _xlfn._xlws.FILTER(Hierarchy[[Offer]:[Offer]], Hierarchy[[Domain]:[Domain]]=AE$36), 0)), 0))</f>
        <v>0</v>
      </c>
      <c r="AF66" s="194" cm="1">
        <f t="array" aca="1" ref="AF66" ca="1">SUM(_xlfn._xlws.FILTER($R66:$AC66, ISNUMBER(MATCH(_xlfn.ANCHORARRAY($R$36), _xlfn._xlws.FILTER(Hierarchy[[Offer]:[Offer]], Hierarchy[[Domain]:[Domain]]=AF$36), 0)), 0))</f>
        <v>0</v>
      </c>
      <c r="AG66" s="194" cm="1">
        <f t="array" aca="1" ref="AG66" ca="1">SUM(_xlfn._xlws.FILTER($R66:$AC66, ISNUMBER(MATCH(_xlfn.ANCHORARRAY($R$36), _xlfn._xlws.FILTER(Hierarchy[[Offer]:[Offer]], Hierarchy[[Domain]:[Domain]]=AG$36), 0)), 0))</f>
        <v>0</v>
      </c>
    </row>
    <row r="67" spans="17:33" x14ac:dyDescent="0.4">
      <c r="Q67" s="192">
        <f ca="1"/>
        <v>45962</v>
      </c>
      <c r="R67" s="193" cm="1">
        <f t="array" aca="1" ref="R67" ca="1">SUMPRODUCT(
  (Data[Track]=R$36)*
  (Data[Adopt Rebate Opt-In Status]="Opted In")*
  (Data[Stage]="Eligible")*
  (
    ((Data[Stage Completion Date (Purchase)]&gt;=$Q67)*(Data[Stage Completion Date (Purchase)]&lt;EDATE($Q67,1)))+
    ((Data[Stage Completion Date(onboard)]&gt;=$Q67)*(Data[Stage Completion Date(onboard)]&lt;EDATE($Q67,1)))+
    ((Data[Stage Completion Date (Implement)]&gt;=$Q67)*(Data[Stage Completion Date (Implement)]&lt;EDATE($Q67,1)))+
    ((Data[Stage Completion Date(Use)]&gt;=$Q67)*(Data[Stage Completion Date(Use)]&lt;EDATE($Q67,1)))+
    ((Data[Stage Completion Date(Engage)]&gt;=$Q67)*(Data[Stage Completion Date(Engage)]&lt;EDATE($Q67,1)))+
    ((Data[Stage Completion Date(Adopt)]&gt;=$Q67)*(Data[Stage Completion Date(Adopt)]&lt;EDATE($Q67,1)))
    &gt;0
  )
)</f>
        <v>0</v>
      </c>
      <c r="S67" s="193" cm="1">
        <f t="array" aca="1" ref="S67" ca="1">SUMPRODUCT(
  (Data[Track]=S$36)*
  (Data[Adopt Rebate Opt-In Status]="Opted In")*
  (Data[Stage]="Eligible")*
  (
    ((Data[Stage Completion Date (Purchase)]&gt;=$Q67)*(Data[Stage Completion Date (Purchase)]&lt;EDATE($Q67,1)))+
    ((Data[Stage Completion Date(onboard)]&gt;=$Q67)*(Data[Stage Completion Date(onboard)]&lt;EDATE($Q67,1)))+
    ((Data[Stage Completion Date (Implement)]&gt;=$Q67)*(Data[Stage Completion Date (Implement)]&lt;EDATE($Q67,1)))+
    ((Data[Stage Completion Date(Use)]&gt;=$Q67)*(Data[Stage Completion Date(Use)]&lt;EDATE($Q67,1)))+
    ((Data[Stage Completion Date(Engage)]&gt;=$Q67)*(Data[Stage Completion Date(Engage)]&lt;EDATE($Q67,1)))+
    ((Data[Stage Completion Date(Adopt)]&gt;=$Q67)*(Data[Stage Completion Date(Adopt)]&lt;EDATE($Q67,1)))
    &gt;0
  )
)</f>
        <v>0</v>
      </c>
      <c r="T67" s="193" cm="1">
        <f t="array" aca="1" ref="T67" ca="1">SUMPRODUCT(
  (Data[Track]=T$36)*
  (Data[Adopt Rebate Opt-In Status]="Opted In")*
  (Data[Stage]="Eligible")*
  (
    ((Data[Stage Completion Date (Purchase)]&gt;=$Q67)*(Data[Stage Completion Date (Purchase)]&lt;EDATE($Q67,1)))+
    ((Data[Stage Completion Date(onboard)]&gt;=$Q67)*(Data[Stage Completion Date(onboard)]&lt;EDATE($Q67,1)))+
    ((Data[Stage Completion Date (Implement)]&gt;=$Q67)*(Data[Stage Completion Date (Implement)]&lt;EDATE($Q67,1)))+
    ((Data[Stage Completion Date(Use)]&gt;=$Q67)*(Data[Stage Completion Date(Use)]&lt;EDATE($Q67,1)))+
    ((Data[Stage Completion Date(Engage)]&gt;=$Q67)*(Data[Stage Completion Date(Engage)]&lt;EDATE($Q67,1)))+
    ((Data[Stage Completion Date(Adopt)]&gt;=$Q67)*(Data[Stage Completion Date(Adopt)]&lt;EDATE($Q67,1)))
    &gt;0
  )
)</f>
        <v>0</v>
      </c>
      <c r="U67" s="193" cm="1">
        <f t="array" aca="1" ref="U67" ca="1">SUMPRODUCT(
  (Data[Track]=U$36)*
  (Data[Adopt Rebate Opt-In Status]="Opted In")*
  (Data[Stage]="Eligible")*
  (
    ((Data[Stage Completion Date (Purchase)]&gt;=$Q67)*(Data[Stage Completion Date (Purchase)]&lt;EDATE($Q67,1)))+
    ((Data[Stage Completion Date(onboard)]&gt;=$Q67)*(Data[Stage Completion Date(onboard)]&lt;EDATE($Q67,1)))+
    ((Data[Stage Completion Date (Implement)]&gt;=$Q67)*(Data[Stage Completion Date (Implement)]&lt;EDATE($Q67,1)))+
    ((Data[Stage Completion Date(Use)]&gt;=$Q67)*(Data[Stage Completion Date(Use)]&lt;EDATE($Q67,1)))+
    ((Data[Stage Completion Date(Engage)]&gt;=$Q67)*(Data[Stage Completion Date(Engage)]&lt;EDATE($Q67,1)))+
    ((Data[Stage Completion Date(Adopt)]&gt;=$Q67)*(Data[Stage Completion Date(Adopt)]&lt;EDATE($Q67,1)))
    &gt;0
  )
)</f>
        <v>0</v>
      </c>
      <c r="V67" s="193" cm="1">
        <f t="array" aca="1" ref="V67" ca="1">SUMPRODUCT(
  (Data[Track]=V$36)*
  (Data[Adopt Rebate Opt-In Status]="Opted In")*
  (Data[Stage]="Eligible")*
  (
    ((Data[Stage Completion Date (Purchase)]&gt;=$Q67)*(Data[Stage Completion Date (Purchase)]&lt;EDATE($Q67,1)))+
    ((Data[Stage Completion Date(onboard)]&gt;=$Q67)*(Data[Stage Completion Date(onboard)]&lt;EDATE($Q67,1)))+
    ((Data[Stage Completion Date (Implement)]&gt;=$Q67)*(Data[Stage Completion Date (Implement)]&lt;EDATE($Q67,1)))+
    ((Data[Stage Completion Date(Use)]&gt;=$Q67)*(Data[Stage Completion Date(Use)]&lt;EDATE($Q67,1)))+
    ((Data[Stage Completion Date(Engage)]&gt;=$Q67)*(Data[Stage Completion Date(Engage)]&lt;EDATE($Q67,1)))+
    ((Data[Stage Completion Date(Adopt)]&gt;=$Q67)*(Data[Stage Completion Date(Adopt)]&lt;EDATE($Q67,1)))
    &gt;0
  )
)</f>
        <v>0</v>
      </c>
      <c r="W67" s="193" cm="1">
        <f t="array" aca="1" ref="W67" ca="1">SUMPRODUCT(
  (Data[Track]=W$36)*
  (Data[Adopt Rebate Opt-In Status]="Opted In")*
  (Data[Stage]="Eligible")*
  (
    ((Data[Stage Completion Date (Purchase)]&gt;=$Q67)*(Data[Stage Completion Date (Purchase)]&lt;EDATE($Q67,1)))+
    ((Data[Stage Completion Date(onboard)]&gt;=$Q67)*(Data[Stage Completion Date(onboard)]&lt;EDATE($Q67,1)))+
    ((Data[Stage Completion Date (Implement)]&gt;=$Q67)*(Data[Stage Completion Date (Implement)]&lt;EDATE($Q67,1)))+
    ((Data[Stage Completion Date(Use)]&gt;=$Q67)*(Data[Stage Completion Date(Use)]&lt;EDATE($Q67,1)))+
    ((Data[Stage Completion Date(Engage)]&gt;=$Q67)*(Data[Stage Completion Date(Engage)]&lt;EDATE($Q67,1)))+
    ((Data[Stage Completion Date(Adopt)]&gt;=$Q67)*(Data[Stage Completion Date(Adopt)]&lt;EDATE($Q67,1)))
    &gt;0
  )
)</f>
        <v>0</v>
      </c>
      <c r="X67" s="193" cm="1">
        <f t="array" aca="1" ref="X67" ca="1">SUMPRODUCT(
  (Data[Track]=X$36)*
  (Data[Adopt Rebate Opt-In Status]="Opted In")*
  (Data[Stage]="Eligible")*
  (
    ((Data[Stage Completion Date (Purchase)]&gt;=$Q67)*(Data[Stage Completion Date (Purchase)]&lt;EDATE($Q67,1)))+
    ((Data[Stage Completion Date(onboard)]&gt;=$Q67)*(Data[Stage Completion Date(onboard)]&lt;EDATE($Q67,1)))+
    ((Data[Stage Completion Date (Implement)]&gt;=$Q67)*(Data[Stage Completion Date (Implement)]&lt;EDATE($Q67,1)))+
    ((Data[Stage Completion Date(Use)]&gt;=$Q67)*(Data[Stage Completion Date(Use)]&lt;EDATE($Q67,1)))+
    ((Data[Stage Completion Date(Engage)]&gt;=$Q67)*(Data[Stage Completion Date(Engage)]&lt;EDATE($Q67,1)))+
    ((Data[Stage Completion Date(Adopt)]&gt;=$Q67)*(Data[Stage Completion Date(Adopt)]&lt;EDATE($Q67,1)))
    &gt;0
  )
)</f>
        <v>0</v>
      </c>
      <c r="Y67" s="193" cm="1">
        <f t="array" aca="1" ref="Y67" ca="1">SUMPRODUCT(
  (Data[Track]=Y$36)*
  (Data[Adopt Rebate Opt-In Status]="Opted In")*
  (Data[Stage]="Eligible")*
  (
    ((Data[Stage Completion Date (Purchase)]&gt;=$Q67)*(Data[Stage Completion Date (Purchase)]&lt;EDATE($Q67,1)))+
    ((Data[Stage Completion Date(onboard)]&gt;=$Q67)*(Data[Stage Completion Date(onboard)]&lt;EDATE($Q67,1)))+
    ((Data[Stage Completion Date (Implement)]&gt;=$Q67)*(Data[Stage Completion Date (Implement)]&lt;EDATE($Q67,1)))+
    ((Data[Stage Completion Date(Use)]&gt;=$Q67)*(Data[Stage Completion Date(Use)]&lt;EDATE($Q67,1)))+
    ((Data[Stage Completion Date(Engage)]&gt;=$Q67)*(Data[Stage Completion Date(Engage)]&lt;EDATE($Q67,1)))+
    ((Data[Stage Completion Date(Adopt)]&gt;=$Q67)*(Data[Stage Completion Date(Adopt)]&lt;EDATE($Q67,1)))
    &gt;0
  )
)</f>
        <v>0</v>
      </c>
      <c r="Z67" s="193" cm="1">
        <f t="array" aca="1" ref="Z67" ca="1">SUMPRODUCT(
  (Data[Track]=Z$36)*
  (Data[Adopt Rebate Opt-In Status]="Opted In")*
  (Data[Stage]="Eligible")*
  (
    ((Data[Stage Completion Date (Purchase)]&gt;=$Q67)*(Data[Stage Completion Date (Purchase)]&lt;EDATE($Q67,1)))+
    ((Data[Stage Completion Date(onboard)]&gt;=$Q67)*(Data[Stage Completion Date(onboard)]&lt;EDATE($Q67,1)))+
    ((Data[Stage Completion Date (Implement)]&gt;=$Q67)*(Data[Stage Completion Date (Implement)]&lt;EDATE($Q67,1)))+
    ((Data[Stage Completion Date(Use)]&gt;=$Q67)*(Data[Stage Completion Date(Use)]&lt;EDATE($Q67,1)))+
    ((Data[Stage Completion Date(Engage)]&gt;=$Q67)*(Data[Stage Completion Date(Engage)]&lt;EDATE($Q67,1)))+
    ((Data[Stage Completion Date(Adopt)]&gt;=$Q67)*(Data[Stage Completion Date(Adopt)]&lt;EDATE($Q67,1)))
    &gt;0
  )
)</f>
        <v>0</v>
      </c>
      <c r="AA67" s="193" cm="1">
        <f t="array" aca="1" ref="AA67" ca="1">SUMPRODUCT(
  (Data[Track]=AA$36)*
  (Data[Adopt Rebate Opt-In Status]="Opted In")*
  (Data[Stage]="Eligible")*
  (
    ((Data[Stage Completion Date (Purchase)]&gt;=$Q67)*(Data[Stage Completion Date (Purchase)]&lt;EDATE($Q67,1)))+
    ((Data[Stage Completion Date(onboard)]&gt;=$Q67)*(Data[Stage Completion Date(onboard)]&lt;EDATE($Q67,1)))+
    ((Data[Stage Completion Date (Implement)]&gt;=$Q67)*(Data[Stage Completion Date (Implement)]&lt;EDATE($Q67,1)))+
    ((Data[Stage Completion Date(Use)]&gt;=$Q67)*(Data[Stage Completion Date(Use)]&lt;EDATE($Q67,1)))+
    ((Data[Stage Completion Date(Engage)]&gt;=$Q67)*(Data[Stage Completion Date(Engage)]&lt;EDATE($Q67,1)))+
    ((Data[Stage Completion Date(Adopt)]&gt;=$Q67)*(Data[Stage Completion Date(Adopt)]&lt;EDATE($Q67,1)))
    &gt;0
  )
)</f>
        <v>0</v>
      </c>
      <c r="AB67" s="193" cm="1">
        <f t="array" aca="1" ref="AB67" ca="1">SUMPRODUCT(
  (Data[Track]=AB$36)*
  (Data[Adopt Rebate Opt-In Status]="Opted In")*
  (Data[Stage]="Eligible")*
  (
    ((Data[Stage Completion Date (Purchase)]&gt;=$Q67)*(Data[Stage Completion Date (Purchase)]&lt;EDATE($Q67,1)))+
    ((Data[Stage Completion Date(onboard)]&gt;=$Q67)*(Data[Stage Completion Date(onboard)]&lt;EDATE($Q67,1)))+
    ((Data[Stage Completion Date (Implement)]&gt;=$Q67)*(Data[Stage Completion Date (Implement)]&lt;EDATE($Q67,1)))+
    ((Data[Stage Completion Date(Use)]&gt;=$Q67)*(Data[Stage Completion Date(Use)]&lt;EDATE($Q67,1)))+
    ((Data[Stage Completion Date(Engage)]&gt;=$Q67)*(Data[Stage Completion Date(Engage)]&lt;EDATE($Q67,1)))+
    ((Data[Stage Completion Date(Adopt)]&gt;=$Q67)*(Data[Stage Completion Date(Adopt)]&lt;EDATE($Q67,1)))
    &gt;0
  )
)</f>
        <v>0</v>
      </c>
      <c r="AC67" s="193" cm="1">
        <f t="array" aca="1" ref="AC67" ca="1">SUMPRODUCT(
  (Data[Track]=AC$36)*
  (Data[Adopt Rebate Opt-In Status]="Opted In")*
  (Data[Stage]="Eligible")*
  (
    ((Data[Stage Completion Date (Purchase)]&gt;=$Q67)*(Data[Stage Completion Date (Purchase)]&lt;EDATE($Q67,1)))+
    ((Data[Stage Completion Date(onboard)]&gt;=$Q67)*(Data[Stage Completion Date(onboard)]&lt;EDATE($Q67,1)))+
    ((Data[Stage Completion Date (Implement)]&gt;=$Q67)*(Data[Stage Completion Date (Implement)]&lt;EDATE($Q67,1)))+
    ((Data[Stage Completion Date(Use)]&gt;=$Q67)*(Data[Stage Completion Date(Use)]&lt;EDATE($Q67,1)))+
    ((Data[Stage Completion Date(Engage)]&gt;=$Q67)*(Data[Stage Completion Date(Engage)]&lt;EDATE($Q67,1)))+
    ((Data[Stage Completion Date(Adopt)]&gt;=$Q67)*(Data[Stage Completion Date(Adopt)]&lt;EDATE($Q67,1)))
    &gt;0
  )
)</f>
        <v>0</v>
      </c>
      <c r="AD67" s="194" cm="1">
        <f t="array" aca="1" ref="AD67" ca="1">SUM(_xlfn._xlws.FILTER($R67:$AC67, ISNUMBER(MATCH(_xlfn.ANCHORARRAY($R$36), _xlfn._xlws.FILTER(Hierarchy[[Offer]:[Offer]], Hierarchy[[Domain]:[Domain]]=AD$36), 0)), 0))</f>
        <v>0</v>
      </c>
      <c r="AE67" s="194" cm="1">
        <f t="array" aca="1" ref="AE67" ca="1">SUM(_xlfn._xlws.FILTER($R67:$AC67, ISNUMBER(MATCH(_xlfn.ANCHORARRAY($R$36), _xlfn._xlws.FILTER(Hierarchy[[Offer]:[Offer]], Hierarchy[[Domain]:[Domain]]=AE$36), 0)), 0))</f>
        <v>0</v>
      </c>
      <c r="AF67" s="194" cm="1">
        <f t="array" aca="1" ref="AF67" ca="1">SUM(_xlfn._xlws.FILTER($R67:$AC67, ISNUMBER(MATCH(_xlfn.ANCHORARRAY($R$36), _xlfn._xlws.FILTER(Hierarchy[[Offer]:[Offer]], Hierarchy[[Domain]:[Domain]]=AF$36), 0)), 0))</f>
        <v>0</v>
      </c>
      <c r="AG67" s="194" cm="1">
        <f t="array" aca="1" ref="AG67" ca="1">SUM(_xlfn._xlws.FILTER($R67:$AC67, ISNUMBER(MATCH(_xlfn.ANCHORARRAY($R$36), _xlfn._xlws.FILTER(Hierarchy[[Offer]:[Offer]], Hierarchy[[Domain]:[Domain]]=AG$36), 0)), 0))</f>
        <v>0</v>
      </c>
    </row>
    <row r="68" spans="17:33" x14ac:dyDescent="0.4">
      <c r="Q68" s="192">
        <f ca="1"/>
        <v>45931</v>
      </c>
      <c r="R68" s="193" cm="1">
        <f t="array" aca="1" ref="R68" ca="1">SUMPRODUCT(
  (Data[Track]=R$36)*
  (Data[Adopt Rebate Opt-In Status]="Opted In")*
  (Data[Stage]="Eligible")*
  (
    ((Data[Stage Completion Date (Purchase)]&gt;=$Q68)*(Data[Stage Completion Date (Purchase)]&lt;EDATE($Q68,1)))+
    ((Data[Stage Completion Date(onboard)]&gt;=$Q68)*(Data[Stage Completion Date(onboard)]&lt;EDATE($Q68,1)))+
    ((Data[Stage Completion Date (Implement)]&gt;=$Q68)*(Data[Stage Completion Date (Implement)]&lt;EDATE($Q68,1)))+
    ((Data[Stage Completion Date(Use)]&gt;=$Q68)*(Data[Stage Completion Date(Use)]&lt;EDATE($Q68,1)))+
    ((Data[Stage Completion Date(Engage)]&gt;=$Q68)*(Data[Stage Completion Date(Engage)]&lt;EDATE($Q68,1)))+
    ((Data[Stage Completion Date(Adopt)]&gt;=$Q68)*(Data[Stage Completion Date(Adopt)]&lt;EDATE($Q68,1)))
    &gt;0
  )
)</f>
        <v>0</v>
      </c>
      <c r="S68" s="193" cm="1">
        <f t="array" aca="1" ref="S68" ca="1">SUMPRODUCT(
  (Data[Track]=S$36)*
  (Data[Adopt Rebate Opt-In Status]="Opted In")*
  (Data[Stage]="Eligible")*
  (
    ((Data[Stage Completion Date (Purchase)]&gt;=$Q68)*(Data[Stage Completion Date (Purchase)]&lt;EDATE($Q68,1)))+
    ((Data[Stage Completion Date(onboard)]&gt;=$Q68)*(Data[Stage Completion Date(onboard)]&lt;EDATE($Q68,1)))+
    ((Data[Stage Completion Date (Implement)]&gt;=$Q68)*(Data[Stage Completion Date (Implement)]&lt;EDATE($Q68,1)))+
    ((Data[Stage Completion Date(Use)]&gt;=$Q68)*(Data[Stage Completion Date(Use)]&lt;EDATE($Q68,1)))+
    ((Data[Stage Completion Date(Engage)]&gt;=$Q68)*(Data[Stage Completion Date(Engage)]&lt;EDATE($Q68,1)))+
    ((Data[Stage Completion Date(Adopt)]&gt;=$Q68)*(Data[Stage Completion Date(Adopt)]&lt;EDATE($Q68,1)))
    &gt;0
  )
)</f>
        <v>0</v>
      </c>
      <c r="T68" s="193" cm="1">
        <f t="array" aca="1" ref="T68" ca="1">SUMPRODUCT(
  (Data[Track]=T$36)*
  (Data[Adopt Rebate Opt-In Status]="Opted In")*
  (Data[Stage]="Eligible")*
  (
    ((Data[Stage Completion Date (Purchase)]&gt;=$Q68)*(Data[Stage Completion Date (Purchase)]&lt;EDATE($Q68,1)))+
    ((Data[Stage Completion Date(onboard)]&gt;=$Q68)*(Data[Stage Completion Date(onboard)]&lt;EDATE($Q68,1)))+
    ((Data[Stage Completion Date (Implement)]&gt;=$Q68)*(Data[Stage Completion Date (Implement)]&lt;EDATE($Q68,1)))+
    ((Data[Stage Completion Date(Use)]&gt;=$Q68)*(Data[Stage Completion Date(Use)]&lt;EDATE($Q68,1)))+
    ((Data[Stage Completion Date(Engage)]&gt;=$Q68)*(Data[Stage Completion Date(Engage)]&lt;EDATE($Q68,1)))+
    ((Data[Stage Completion Date(Adopt)]&gt;=$Q68)*(Data[Stage Completion Date(Adopt)]&lt;EDATE($Q68,1)))
    &gt;0
  )
)</f>
        <v>0</v>
      </c>
      <c r="U68" s="193" cm="1">
        <f t="array" aca="1" ref="U68" ca="1">SUMPRODUCT(
  (Data[Track]=U$36)*
  (Data[Adopt Rebate Opt-In Status]="Opted In")*
  (Data[Stage]="Eligible")*
  (
    ((Data[Stage Completion Date (Purchase)]&gt;=$Q68)*(Data[Stage Completion Date (Purchase)]&lt;EDATE($Q68,1)))+
    ((Data[Stage Completion Date(onboard)]&gt;=$Q68)*(Data[Stage Completion Date(onboard)]&lt;EDATE($Q68,1)))+
    ((Data[Stage Completion Date (Implement)]&gt;=$Q68)*(Data[Stage Completion Date (Implement)]&lt;EDATE($Q68,1)))+
    ((Data[Stage Completion Date(Use)]&gt;=$Q68)*(Data[Stage Completion Date(Use)]&lt;EDATE($Q68,1)))+
    ((Data[Stage Completion Date(Engage)]&gt;=$Q68)*(Data[Stage Completion Date(Engage)]&lt;EDATE($Q68,1)))+
    ((Data[Stage Completion Date(Adopt)]&gt;=$Q68)*(Data[Stage Completion Date(Adopt)]&lt;EDATE($Q68,1)))
    &gt;0
  )
)</f>
        <v>0</v>
      </c>
      <c r="V68" s="193" cm="1">
        <f t="array" aca="1" ref="V68" ca="1">SUMPRODUCT(
  (Data[Track]=V$36)*
  (Data[Adopt Rebate Opt-In Status]="Opted In")*
  (Data[Stage]="Eligible")*
  (
    ((Data[Stage Completion Date (Purchase)]&gt;=$Q68)*(Data[Stage Completion Date (Purchase)]&lt;EDATE($Q68,1)))+
    ((Data[Stage Completion Date(onboard)]&gt;=$Q68)*(Data[Stage Completion Date(onboard)]&lt;EDATE($Q68,1)))+
    ((Data[Stage Completion Date (Implement)]&gt;=$Q68)*(Data[Stage Completion Date (Implement)]&lt;EDATE($Q68,1)))+
    ((Data[Stage Completion Date(Use)]&gt;=$Q68)*(Data[Stage Completion Date(Use)]&lt;EDATE($Q68,1)))+
    ((Data[Stage Completion Date(Engage)]&gt;=$Q68)*(Data[Stage Completion Date(Engage)]&lt;EDATE($Q68,1)))+
    ((Data[Stage Completion Date(Adopt)]&gt;=$Q68)*(Data[Stage Completion Date(Adopt)]&lt;EDATE($Q68,1)))
    &gt;0
  )
)</f>
        <v>0</v>
      </c>
      <c r="W68" s="193" cm="1">
        <f t="array" aca="1" ref="W68" ca="1">SUMPRODUCT(
  (Data[Track]=W$36)*
  (Data[Adopt Rebate Opt-In Status]="Opted In")*
  (Data[Stage]="Eligible")*
  (
    ((Data[Stage Completion Date (Purchase)]&gt;=$Q68)*(Data[Stage Completion Date (Purchase)]&lt;EDATE($Q68,1)))+
    ((Data[Stage Completion Date(onboard)]&gt;=$Q68)*(Data[Stage Completion Date(onboard)]&lt;EDATE($Q68,1)))+
    ((Data[Stage Completion Date (Implement)]&gt;=$Q68)*(Data[Stage Completion Date (Implement)]&lt;EDATE($Q68,1)))+
    ((Data[Stage Completion Date(Use)]&gt;=$Q68)*(Data[Stage Completion Date(Use)]&lt;EDATE($Q68,1)))+
    ((Data[Stage Completion Date(Engage)]&gt;=$Q68)*(Data[Stage Completion Date(Engage)]&lt;EDATE($Q68,1)))+
    ((Data[Stage Completion Date(Adopt)]&gt;=$Q68)*(Data[Stage Completion Date(Adopt)]&lt;EDATE($Q68,1)))
    &gt;0
  )
)</f>
        <v>0</v>
      </c>
      <c r="X68" s="193" cm="1">
        <f t="array" aca="1" ref="X68" ca="1">SUMPRODUCT(
  (Data[Track]=X$36)*
  (Data[Adopt Rebate Opt-In Status]="Opted In")*
  (Data[Stage]="Eligible")*
  (
    ((Data[Stage Completion Date (Purchase)]&gt;=$Q68)*(Data[Stage Completion Date (Purchase)]&lt;EDATE($Q68,1)))+
    ((Data[Stage Completion Date(onboard)]&gt;=$Q68)*(Data[Stage Completion Date(onboard)]&lt;EDATE($Q68,1)))+
    ((Data[Stage Completion Date (Implement)]&gt;=$Q68)*(Data[Stage Completion Date (Implement)]&lt;EDATE($Q68,1)))+
    ((Data[Stage Completion Date(Use)]&gt;=$Q68)*(Data[Stage Completion Date(Use)]&lt;EDATE($Q68,1)))+
    ((Data[Stage Completion Date(Engage)]&gt;=$Q68)*(Data[Stage Completion Date(Engage)]&lt;EDATE($Q68,1)))+
    ((Data[Stage Completion Date(Adopt)]&gt;=$Q68)*(Data[Stage Completion Date(Adopt)]&lt;EDATE($Q68,1)))
    &gt;0
  )
)</f>
        <v>0</v>
      </c>
      <c r="Y68" s="193" cm="1">
        <f t="array" aca="1" ref="Y68" ca="1">SUMPRODUCT(
  (Data[Track]=Y$36)*
  (Data[Adopt Rebate Opt-In Status]="Opted In")*
  (Data[Stage]="Eligible")*
  (
    ((Data[Stage Completion Date (Purchase)]&gt;=$Q68)*(Data[Stage Completion Date (Purchase)]&lt;EDATE($Q68,1)))+
    ((Data[Stage Completion Date(onboard)]&gt;=$Q68)*(Data[Stage Completion Date(onboard)]&lt;EDATE($Q68,1)))+
    ((Data[Stage Completion Date (Implement)]&gt;=$Q68)*(Data[Stage Completion Date (Implement)]&lt;EDATE($Q68,1)))+
    ((Data[Stage Completion Date(Use)]&gt;=$Q68)*(Data[Stage Completion Date(Use)]&lt;EDATE($Q68,1)))+
    ((Data[Stage Completion Date(Engage)]&gt;=$Q68)*(Data[Stage Completion Date(Engage)]&lt;EDATE($Q68,1)))+
    ((Data[Stage Completion Date(Adopt)]&gt;=$Q68)*(Data[Stage Completion Date(Adopt)]&lt;EDATE($Q68,1)))
    &gt;0
  )
)</f>
        <v>0</v>
      </c>
      <c r="Z68" s="193" cm="1">
        <f t="array" aca="1" ref="Z68" ca="1">SUMPRODUCT(
  (Data[Track]=Z$36)*
  (Data[Adopt Rebate Opt-In Status]="Opted In")*
  (Data[Stage]="Eligible")*
  (
    ((Data[Stage Completion Date (Purchase)]&gt;=$Q68)*(Data[Stage Completion Date (Purchase)]&lt;EDATE($Q68,1)))+
    ((Data[Stage Completion Date(onboard)]&gt;=$Q68)*(Data[Stage Completion Date(onboard)]&lt;EDATE($Q68,1)))+
    ((Data[Stage Completion Date (Implement)]&gt;=$Q68)*(Data[Stage Completion Date (Implement)]&lt;EDATE($Q68,1)))+
    ((Data[Stage Completion Date(Use)]&gt;=$Q68)*(Data[Stage Completion Date(Use)]&lt;EDATE($Q68,1)))+
    ((Data[Stage Completion Date(Engage)]&gt;=$Q68)*(Data[Stage Completion Date(Engage)]&lt;EDATE($Q68,1)))+
    ((Data[Stage Completion Date(Adopt)]&gt;=$Q68)*(Data[Stage Completion Date(Adopt)]&lt;EDATE($Q68,1)))
    &gt;0
  )
)</f>
        <v>0</v>
      </c>
      <c r="AA68" s="193" cm="1">
        <f t="array" aca="1" ref="AA68" ca="1">SUMPRODUCT(
  (Data[Track]=AA$36)*
  (Data[Adopt Rebate Opt-In Status]="Opted In")*
  (Data[Stage]="Eligible")*
  (
    ((Data[Stage Completion Date (Purchase)]&gt;=$Q68)*(Data[Stage Completion Date (Purchase)]&lt;EDATE($Q68,1)))+
    ((Data[Stage Completion Date(onboard)]&gt;=$Q68)*(Data[Stage Completion Date(onboard)]&lt;EDATE($Q68,1)))+
    ((Data[Stage Completion Date (Implement)]&gt;=$Q68)*(Data[Stage Completion Date (Implement)]&lt;EDATE($Q68,1)))+
    ((Data[Stage Completion Date(Use)]&gt;=$Q68)*(Data[Stage Completion Date(Use)]&lt;EDATE($Q68,1)))+
    ((Data[Stage Completion Date(Engage)]&gt;=$Q68)*(Data[Stage Completion Date(Engage)]&lt;EDATE($Q68,1)))+
    ((Data[Stage Completion Date(Adopt)]&gt;=$Q68)*(Data[Stage Completion Date(Adopt)]&lt;EDATE($Q68,1)))
    &gt;0
  )
)</f>
        <v>0</v>
      </c>
      <c r="AB68" s="193" cm="1">
        <f t="array" aca="1" ref="AB68" ca="1">SUMPRODUCT(
  (Data[Track]=AB$36)*
  (Data[Adopt Rebate Opt-In Status]="Opted In")*
  (Data[Stage]="Eligible")*
  (
    ((Data[Stage Completion Date (Purchase)]&gt;=$Q68)*(Data[Stage Completion Date (Purchase)]&lt;EDATE($Q68,1)))+
    ((Data[Stage Completion Date(onboard)]&gt;=$Q68)*(Data[Stage Completion Date(onboard)]&lt;EDATE($Q68,1)))+
    ((Data[Stage Completion Date (Implement)]&gt;=$Q68)*(Data[Stage Completion Date (Implement)]&lt;EDATE($Q68,1)))+
    ((Data[Stage Completion Date(Use)]&gt;=$Q68)*(Data[Stage Completion Date(Use)]&lt;EDATE($Q68,1)))+
    ((Data[Stage Completion Date(Engage)]&gt;=$Q68)*(Data[Stage Completion Date(Engage)]&lt;EDATE($Q68,1)))+
    ((Data[Stage Completion Date(Adopt)]&gt;=$Q68)*(Data[Stage Completion Date(Adopt)]&lt;EDATE($Q68,1)))
    &gt;0
  )
)</f>
        <v>0</v>
      </c>
      <c r="AC68" s="193" cm="1">
        <f t="array" aca="1" ref="AC68" ca="1">SUMPRODUCT(
  (Data[Track]=AC$36)*
  (Data[Adopt Rebate Opt-In Status]="Opted In")*
  (Data[Stage]="Eligible")*
  (
    ((Data[Stage Completion Date (Purchase)]&gt;=$Q68)*(Data[Stage Completion Date (Purchase)]&lt;EDATE($Q68,1)))+
    ((Data[Stage Completion Date(onboard)]&gt;=$Q68)*(Data[Stage Completion Date(onboard)]&lt;EDATE($Q68,1)))+
    ((Data[Stage Completion Date (Implement)]&gt;=$Q68)*(Data[Stage Completion Date (Implement)]&lt;EDATE($Q68,1)))+
    ((Data[Stage Completion Date(Use)]&gt;=$Q68)*(Data[Stage Completion Date(Use)]&lt;EDATE($Q68,1)))+
    ((Data[Stage Completion Date(Engage)]&gt;=$Q68)*(Data[Stage Completion Date(Engage)]&lt;EDATE($Q68,1)))+
    ((Data[Stage Completion Date(Adopt)]&gt;=$Q68)*(Data[Stage Completion Date(Adopt)]&lt;EDATE($Q68,1)))
    &gt;0
  )
)</f>
        <v>0</v>
      </c>
      <c r="AD68" s="194" cm="1">
        <f t="array" aca="1" ref="AD68" ca="1">SUM(_xlfn._xlws.FILTER($R68:$AC68, ISNUMBER(MATCH(_xlfn.ANCHORARRAY($R$36), _xlfn._xlws.FILTER(Hierarchy[[Offer]:[Offer]], Hierarchy[[Domain]:[Domain]]=AD$36), 0)), 0))</f>
        <v>0</v>
      </c>
      <c r="AE68" s="194" cm="1">
        <f t="array" aca="1" ref="AE68" ca="1">SUM(_xlfn._xlws.FILTER($R68:$AC68, ISNUMBER(MATCH(_xlfn.ANCHORARRAY($R$36), _xlfn._xlws.FILTER(Hierarchy[[Offer]:[Offer]], Hierarchy[[Domain]:[Domain]]=AE$36), 0)), 0))</f>
        <v>0</v>
      </c>
      <c r="AF68" s="194" cm="1">
        <f t="array" aca="1" ref="AF68" ca="1">SUM(_xlfn._xlws.FILTER($R68:$AC68, ISNUMBER(MATCH(_xlfn.ANCHORARRAY($R$36), _xlfn._xlws.FILTER(Hierarchy[[Offer]:[Offer]], Hierarchy[[Domain]:[Domain]]=AF$36), 0)), 0))</f>
        <v>0</v>
      </c>
      <c r="AG68" s="194" cm="1">
        <f t="array" aca="1" ref="AG68" ca="1">SUM(_xlfn._xlws.FILTER($R68:$AC68, ISNUMBER(MATCH(_xlfn.ANCHORARRAY($R$36), _xlfn._xlws.FILTER(Hierarchy[[Offer]:[Offer]], Hierarchy[[Domain]:[Domain]]=AG$36), 0)), 0))</f>
        <v>0</v>
      </c>
    </row>
    <row r="69" spans="17:33" x14ac:dyDescent="0.4">
      <c r="Q69" s="192">
        <f ca="1"/>
        <v>45901</v>
      </c>
      <c r="R69" s="193" cm="1">
        <f t="array" aca="1" ref="R69" ca="1">SUMPRODUCT(
  (Data[Track]=R$36)*
  (Data[Adopt Rebate Opt-In Status]="Opted In")*
  (Data[Stage]="Eligible")*
  (
    ((Data[Stage Completion Date (Purchase)]&gt;=$Q69)*(Data[Stage Completion Date (Purchase)]&lt;EDATE($Q69,1)))+
    ((Data[Stage Completion Date(onboard)]&gt;=$Q69)*(Data[Stage Completion Date(onboard)]&lt;EDATE($Q69,1)))+
    ((Data[Stage Completion Date (Implement)]&gt;=$Q69)*(Data[Stage Completion Date (Implement)]&lt;EDATE($Q69,1)))+
    ((Data[Stage Completion Date(Use)]&gt;=$Q69)*(Data[Stage Completion Date(Use)]&lt;EDATE($Q69,1)))+
    ((Data[Stage Completion Date(Engage)]&gt;=$Q69)*(Data[Stage Completion Date(Engage)]&lt;EDATE($Q69,1)))+
    ((Data[Stage Completion Date(Adopt)]&gt;=$Q69)*(Data[Stage Completion Date(Adopt)]&lt;EDATE($Q69,1)))
    &gt;0
  )
)</f>
        <v>0</v>
      </c>
      <c r="S69" s="193" cm="1">
        <f t="array" aca="1" ref="S69" ca="1">SUMPRODUCT(
  (Data[Track]=S$36)*
  (Data[Adopt Rebate Opt-In Status]="Opted In")*
  (Data[Stage]="Eligible")*
  (
    ((Data[Stage Completion Date (Purchase)]&gt;=$Q69)*(Data[Stage Completion Date (Purchase)]&lt;EDATE($Q69,1)))+
    ((Data[Stage Completion Date(onboard)]&gt;=$Q69)*(Data[Stage Completion Date(onboard)]&lt;EDATE($Q69,1)))+
    ((Data[Stage Completion Date (Implement)]&gt;=$Q69)*(Data[Stage Completion Date (Implement)]&lt;EDATE($Q69,1)))+
    ((Data[Stage Completion Date(Use)]&gt;=$Q69)*(Data[Stage Completion Date(Use)]&lt;EDATE($Q69,1)))+
    ((Data[Stage Completion Date(Engage)]&gt;=$Q69)*(Data[Stage Completion Date(Engage)]&lt;EDATE($Q69,1)))+
    ((Data[Stage Completion Date(Adopt)]&gt;=$Q69)*(Data[Stage Completion Date(Adopt)]&lt;EDATE($Q69,1)))
    &gt;0
  )
)</f>
        <v>0</v>
      </c>
      <c r="T69" s="193" cm="1">
        <f t="array" aca="1" ref="T69" ca="1">SUMPRODUCT(
  (Data[Track]=T$36)*
  (Data[Adopt Rebate Opt-In Status]="Opted In")*
  (Data[Stage]="Eligible")*
  (
    ((Data[Stage Completion Date (Purchase)]&gt;=$Q69)*(Data[Stage Completion Date (Purchase)]&lt;EDATE($Q69,1)))+
    ((Data[Stage Completion Date(onboard)]&gt;=$Q69)*(Data[Stage Completion Date(onboard)]&lt;EDATE($Q69,1)))+
    ((Data[Stage Completion Date (Implement)]&gt;=$Q69)*(Data[Stage Completion Date (Implement)]&lt;EDATE($Q69,1)))+
    ((Data[Stage Completion Date(Use)]&gt;=$Q69)*(Data[Stage Completion Date(Use)]&lt;EDATE($Q69,1)))+
    ((Data[Stage Completion Date(Engage)]&gt;=$Q69)*(Data[Stage Completion Date(Engage)]&lt;EDATE($Q69,1)))+
    ((Data[Stage Completion Date(Adopt)]&gt;=$Q69)*(Data[Stage Completion Date(Adopt)]&lt;EDATE($Q69,1)))
    &gt;0
  )
)</f>
        <v>0</v>
      </c>
      <c r="U69" s="193" cm="1">
        <f t="array" aca="1" ref="U69" ca="1">SUMPRODUCT(
  (Data[Track]=U$36)*
  (Data[Adopt Rebate Opt-In Status]="Opted In")*
  (Data[Stage]="Eligible")*
  (
    ((Data[Stage Completion Date (Purchase)]&gt;=$Q69)*(Data[Stage Completion Date (Purchase)]&lt;EDATE($Q69,1)))+
    ((Data[Stage Completion Date(onboard)]&gt;=$Q69)*(Data[Stage Completion Date(onboard)]&lt;EDATE($Q69,1)))+
    ((Data[Stage Completion Date (Implement)]&gt;=$Q69)*(Data[Stage Completion Date (Implement)]&lt;EDATE($Q69,1)))+
    ((Data[Stage Completion Date(Use)]&gt;=$Q69)*(Data[Stage Completion Date(Use)]&lt;EDATE($Q69,1)))+
    ((Data[Stage Completion Date(Engage)]&gt;=$Q69)*(Data[Stage Completion Date(Engage)]&lt;EDATE($Q69,1)))+
    ((Data[Stage Completion Date(Adopt)]&gt;=$Q69)*(Data[Stage Completion Date(Adopt)]&lt;EDATE($Q69,1)))
    &gt;0
  )
)</f>
        <v>0</v>
      </c>
      <c r="V69" s="193" cm="1">
        <f t="array" aca="1" ref="V69" ca="1">SUMPRODUCT(
  (Data[Track]=V$36)*
  (Data[Adopt Rebate Opt-In Status]="Opted In")*
  (Data[Stage]="Eligible")*
  (
    ((Data[Stage Completion Date (Purchase)]&gt;=$Q69)*(Data[Stage Completion Date (Purchase)]&lt;EDATE($Q69,1)))+
    ((Data[Stage Completion Date(onboard)]&gt;=$Q69)*(Data[Stage Completion Date(onboard)]&lt;EDATE($Q69,1)))+
    ((Data[Stage Completion Date (Implement)]&gt;=$Q69)*(Data[Stage Completion Date (Implement)]&lt;EDATE($Q69,1)))+
    ((Data[Stage Completion Date(Use)]&gt;=$Q69)*(Data[Stage Completion Date(Use)]&lt;EDATE($Q69,1)))+
    ((Data[Stage Completion Date(Engage)]&gt;=$Q69)*(Data[Stage Completion Date(Engage)]&lt;EDATE($Q69,1)))+
    ((Data[Stage Completion Date(Adopt)]&gt;=$Q69)*(Data[Stage Completion Date(Adopt)]&lt;EDATE($Q69,1)))
    &gt;0
  )
)</f>
        <v>0</v>
      </c>
      <c r="W69" s="193" cm="1">
        <f t="array" aca="1" ref="W69" ca="1">SUMPRODUCT(
  (Data[Track]=W$36)*
  (Data[Adopt Rebate Opt-In Status]="Opted In")*
  (Data[Stage]="Eligible")*
  (
    ((Data[Stage Completion Date (Purchase)]&gt;=$Q69)*(Data[Stage Completion Date (Purchase)]&lt;EDATE($Q69,1)))+
    ((Data[Stage Completion Date(onboard)]&gt;=$Q69)*(Data[Stage Completion Date(onboard)]&lt;EDATE($Q69,1)))+
    ((Data[Stage Completion Date (Implement)]&gt;=$Q69)*(Data[Stage Completion Date (Implement)]&lt;EDATE($Q69,1)))+
    ((Data[Stage Completion Date(Use)]&gt;=$Q69)*(Data[Stage Completion Date(Use)]&lt;EDATE($Q69,1)))+
    ((Data[Stage Completion Date(Engage)]&gt;=$Q69)*(Data[Stage Completion Date(Engage)]&lt;EDATE($Q69,1)))+
    ((Data[Stage Completion Date(Adopt)]&gt;=$Q69)*(Data[Stage Completion Date(Adopt)]&lt;EDATE($Q69,1)))
    &gt;0
  )
)</f>
        <v>0</v>
      </c>
      <c r="X69" s="193" cm="1">
        <f t="array" aca="1" ref="X69" ca="1">SUMPRODUCT(
  (Data[Track]=X$36)*
  (Data[Adopt Rebate Opt-In Status]="Opted In")*
  (Data[Stage]="Eligible")*
  (
    ((Data[Stage Completion Date (Purchase)]&gt;=$Q69)*(Data[Stage Completion Date (Purchase)]&lt;EDATE($Q69,1)))+
    ((Data[Stage Completion Date(onboard)]&gt;=$Q69)*(Data[Stage Completion Date(onboard)]&lt;EDATE($Q69,1)))+
    ((Data[Stage Completion Date (Implement)]&gt;=$Q69)*(Data[Stage Completion Date (Implement)]&lt;EDATE($Q69,1)))+
    ((Data[Stage Completion Date(Use)]&gt;=$Q69)*(Data[Stage Completion Date(Use)]&lt;EDATE($Q69,1)))+
    ((Data[Stage Completion Date(Engage)]&gt;=$Q69)*(Data[Stage Completion Date(Engage)]&lt;EDATE($Q69,1)))+
    ((Data[Stage Completion Date(Adopt)]&gt;=$Q69)*(Data[Stage Completion Date(Adopt)]&lt;EDATE($Q69,1)))
    &gt;0
  )
)</f>
        <v>0</v>
      </c>
      <c r="Y69" s="193" cm="1">
        <f t="array" aca="1" ref="Y69" ca="1">SUMPRODUCT(
  (Data[Track]=Y$36)*
  (Data[Adopt Rebate Opt-In Status]="Opted In")*
  (Data[Stage]="Eligible")*
  (
    ((Data[Stage Completion Date (Purchase)]&gt;=$Q69)*(Data[Stage Completion Date (Purchase)]&lt;EDATE($Q69,1)))+
    ((Data[Stage Completion Date(onboard)]&gt;=$Q69)*(Data[Stage Completion Date(onboard)]&lt;EDATE($Q69,1)))+
    ((Data[Stage Completion Date (Implement)]&gt;=$Q69)*(Data[Stage Completion Date (Implement)]&lt;EDATE($Q69,1)))+
    ((Data[Stage Completion Date(Use)]&gt;=$Q69)*(Data[Stage Completion Date(Use)]&lt;EDATE($Q69,1)))+
    ((Data[Stage Completion Date(Engage)]&gt;=$Q69)*(Data[Stage Completion Date(Engage)]&lt;EDATE($Q69,1)))+
    ((Data[Stage Completion Date(Adopt)]&gt;=$Q69)*(Data[Stage Completion Date(Adopt)]&lt;EDATE($Q69,1)))
    &gt;0
  )
)</f>
        <v>0</v>
      </c>
      <c r="Z69" s="193" cm="1">
        <f t="array" aca="1" ref="Z69" ca="1">SUMPRODUCT(
  (Data[Track]=Z$36)*
  (Data[Adopt Rebate Opt-In Status]="Opted In")*
  (Data[Stage]="Eligible")*
  (
    ((Data[Stage Completion Date (Purchase)]&gt;=$Q69)*(Data[Stage Completion Date (Purchase)]&lt;EDATE($Q69,1)))+
    ((Data[Stage Completion Date(onboard)]&gt;=$Q69)*(Data[Stage Completion Date(onboard)]&lt;EDATE($Q69,1)))+
    ((Data[Stage Completion Date (Implement)]&gt;=$Q69)*(Data[Stage Completion Date (Implement)]&lt;EDATE($Q69,1)))+
    ((Data[Stage Completion Date(Use)]&gt;=$Q69)*(Data[Stage Completion Date(Use)]&lt;EDATE($Q69,1)))+
    ((Data[Stage Completion Date(Engage)]&gt;=$Q69)*(Data[Stage Completion Date(Engage)]&lt;EDATE($Q69,1)))+
    ((Data[Stage Completion Date(Adopt)]&gt;=$Q69)*(Data[Stage Completion Date(Adopt)]&lt;EDATE($Q69,1)))
    &gt;0
  )
)</f>
        <v>0</v>
      </c>
      <c r="AA69" s="193" cm="1">
        <f t="array" aca="1" ref="AA69" ca="1">SUMPRODUCT(
  (Data[Track]=AA$36)*
  (Data[Adopt Rebate Opt-In Status]="Opted In")*
  (Data[Stage]="Eligible")*
  (
    ((Data[Stage Completion Date (Purchase)]&gt;=$Q69)*(Data[Stage Completion Date (Purchase)]&lt;EDATE($Q69,1)))+
    ((Data[Stage Completion Date(onboard)]&gt;=$Q69)*(Data[Stage Completion Date(onboard)]&lt;EDATE($Q69,1)))+
    ((Data[Stage Completion Date (Implement)]&gt;=$Q69)*(Data[Stage Completion Date (Implement)]&lt;EDATE($Q69,1)))+
    ((Data[Stage Completion Date(Use)]&gt;=$Q69)*(Data[Stage Completion Date(Use)]&lt;EDATE($Q69,1)))+
    ((Data[Stage Completion Date(Engage)]&gt;=$Q69)*(Data[Stage Completion Date(Engage)]&lt;EDATE($Q69,1)))+
    ((Data[Stage Completion Date(Adopt)]&gt;=$Q69)*(Data[Stage Completion Date(Adopt)]&lt;EDATE($Q69,1)))
    &gt;0
  )
)</f>
        <v>0</v>
      </c>
      <c r="AB69" s="193" cm="1">
        <f t="array" aca="1" ref="AB69" ca="1">SUMPRODUCT(
  (Data[Track]=AB$36)*
  (Data[Adopt Rebate Opt-In Status]="Opted In")*
  (Data[Stage]="Eligible")*
  (
    ((Data[Stage Completion Date (Purchase)]&gt;=$Q69)*(Data[Stage Completion Date (Purchase)]&lt;EDATE($Q69,1)))+
    ((Data[Stage Completion Date(onboard)]&gt;=$Q69)*(Data[Stage Completion Date(onboard)]&lt;EDATE($Q69,1)))+
    ((Data[Stage Completion Date (Implement)]&gt;=$Q69)*(Data[Stage Completion Date (Implement)]&lt;EDATE($Q69,1)))+
    ((Data[Stage Completion Date(Use)]&gt;=$Q69)*(Data[Stage Completion Date(Use)]&lt;EDATE($Q69,1)))+
    ((Data[Stage Completion Date(Engage)]&gt;=$Q69)*(Data[Stage Completion Date(Engage)]&lt;EDATE($Q69,1)))+
    ((Data[Stage Completion Date(Adopt)]&gt;=$Q69)*(Data[Stage Completion Date(Adopt)]&lt;EDATE($Q69,1)))
    &gt;0
  )
)</f>
        <v>0</v>
      </c>
      <c r="AC69" s="193" cm="1">
        <f t="array" aca="1" ref="AC69" ca="1">SUMPRODUCT(
  (Data[Track]=AC$36)*
  (Data[Adopt Rebate Opt-In Status]="Opted In")*
  (Data[Stage]="Eligible")*
  (
    ((Data[Stage Completion Date (Purchase)]&gt;=$Q69)*(Data[Stage Completion Date (Purchase)]&lt;EDATE($Q69,1)))+
    ((Data[Stage Completion Date(onboard)]&gt;=$Q69)*(Data[Stage Completion Date(onboard)]&lt;EDATE($Q69,1)))+
    ((Data[Stage Completion Date (Implement)]&gt;=$Q69)*(Data[Stage Completion Date (Implement)]&lt;EDATE($Q69,1)))+
    ((Data[Stage Completion Date(Use)]&gt;=$Q69)*(Data[Stage Completion Date(Use)]&lt;EDATE($Q69,1)))+
    ((Data[Stage Completion Date(Engage)]&gt;=$Q69)*(Data[Stage Completion Date(Engage)]&lt;EDATE($Q69,1)))+
    ((Data[Stage Completion Date(Adopt)]&gt;=$Q69)*(Data[Stage Completion Date(Adopt)]&lt;EDATE($Q69,1)))
    &gt;0
  )
)</f>
        <v>0</v>
      </c>
      <c r="AD69" s="194" cm="1">
        <f t="array" aca="1" ref="AD69" ca="1">SUM(_xlfn._xlws.FILTER($R69:$AC69, ISNUMBER(MATCH(_xlfn.ANCHORARRAY($R$36), _xlfn._xlws.FILTER(Hierarchy[[Offer]:[Offer]], Hierarchy[[Domain]:[Domain]]=AD$36), 0)), 0))</f>
        <v>0</v>
      </c>
      <c r="AE69" s="194" cm="1">
        <f t="array" aca="1" ref="AE69" ca="1">SUM(_xlfn._xlws.FILTER($R69:$AC69, ISNUMBER(MATCH(_xlfn.ANCHORARRAY($R$36), _xlfn._xlws.FILTER(Hierarchy[[Offer]:[Offer]], Hierarchy[[Domain]:[Domain]]=AE$36), 0)), 0))</f>
        <v>0</v>
      </c>
      <c r="AF69" s="194" cm="1">
        <f t="array" aca="1" ref="AF69" ca="1">SUM(_xlfn._xlws.FILTER($R69:$AC69, ISNUMBER(MATCH(_xlfn.ANCHORARRAY($R$36), _xlfn._xlws.FILTER(Hierarchy[[Offer]:[Offer]], Hierarchy[[Domain]:[Domain]]=AF$36), 0)), 0))</f>
        <v>0</v>
      </c>
      <c r="AG69" s="194" cm="1">
        <f t="array" aca="1" ref="AG69" ca="1">SUM(_xlfn._xlws.FILTER($R69:$AC69, ISNUMBER(MATCH(_xlfn.ANCHORARRAY($R$36), _xlfn._xlws.FILTER(Hierarchy[[Offer]:[Offer]], Hierarchy[[Domain]:[Domain]]=AG$36), 0)), 0))</f>
        <v>0</v>
      </c>
    </row>
    <row r="70" spans="17:33" x14ac:dyDescent="0.4">
      <c r="Q70" s="192">
        <f ca="1"/>
        <v>45870</v>
      </c>
      <c r="R70" s="193" cm="1">
        <f t="array" aca="1" ref="R70" ca="1">SUMPRODUCT(
  (Data[Track]=R$36)*
  (Data[Adopt Rebate Opt-In Status]="Opted In")*
  (Data[Stage]="Eligible")*
  (
    ((Data[Stage Completion Date (Purchase)]&gt;=$Q70)*(Data[Stage Completion Date (Purchase)]&lt;EDATE($Q70,1)))+
    ((Data[Stage Completion Date(onboard)]&gt;=$Q70)*(Data[Stage Completion Date(onboard)]&lt;EDATE($Q70,1)))+
    ((Data[Stage Completion Date (Implement)]&gt;=$Q70)*(Data[Stage Completion Date (Implement)]&lt;EDATE($Q70,1)))+
    ((Data[Stage Completion Date(Use)]&gt;=$Q70)*(Data[Stage Completion Date(Use)]&lt;EDATE($Q70,1)))+
    ((Data[Stage Completion Date(Engage)]&gt;=$Q70)*(Data[Stage Completion Date(Engage)]&lt;EDATE($Q70,1)))+
    ((Data[Stage Completion Date(Adopt)]&gt;=$Q70)*(Data[Stage Completion Date(Adopt)]&lt;EDATE($Q70,1)))
    &gt;0
  )
)</f>
        <v>0</v>
      </c>
      <c r="S70" s="193" cm="1">
        <f t="array" aca="1" ref="S70" ca="1">SUMPRODUCT(
  (Data[Track]=S$36)*
  (Data[Adopt Rebate Opt-In Status]="Opted In")*
  (Data[Stage]="Eligible")*
  (
    ((Data[Stage Completion Date (Purchase)]&gt;=$Q70)*(Data[Stage Completion Date (Purchase)]&lt;EDATE($Q70,1)))+
    ((Data[Stage Completion Date(onboard)]&gt;=$Q70)*(Data[Stage Completion Date(onboard)]&lt;EDATE($Q70,1)))+
    ((Data[Stage Completion Date (Implement)]&gt;=$Q70)*(Data[Stage Completion Date (Implement)]&lt;EDATE($Q70,1)))+
    ((Data[Stage Completion Date(Use)]&gt;=$Q70)*(Data[Stage Completion Date(Use)]&lt;EDATE($Q70,1)))+
    ((Data[Stage Completion Date(Engage)]&gt;=$Q70)*(Data[Stage Completion Date(Engage)]&lt;EDATE($Q70,1)))+
    ((Data[Stage Completion Date(Adopt)]&gt;=$Q70)*(Data[Stage Completion Date(Adopt)]&lt;EDATE($Q70,1)))
    &gt;0
  )
)</f>
        <v>0</v>
      </c>
      <c r="T70" s="193" cm="1">
        <f t="array" aca="1" ref="T70" ca="1">SUMPRODUCT(
  (Data[Track]=T$36)*
  (Data[Adopt Rebate Opt-In Status]="Opted In")*
  (Data[Stage]="Eligible")*
  (
    ((Data[Stage Completion Date (Purchase)]&gt;=$Q70)*(Data[Stage Completion Date (Purchase)]&lt;EDATE($Q70,1)))+
    ((Data[Stage Completion Date(onboard)]&gt;=$Q70)*(Data[Stage Completion Date(onboard)]&lt;EDATE($Q70,1)))+
    ((Data[Stage Completion Date (Implement)]&gt;=$Q70)*(Data[Stage Completion Date (Implement)]&lt;EDATE($Q70,1)))+
    ((Data[Stage Completion Date(Use)]&gt;=$Q70)*(Data[Stage Completion Date(Use)]&lt;EDATE($Q70,1)))+
    ((Data[Stage Completion Date(Engage)]&gt;=$Q70)*(Data[Stage Completion Date(Engage)]&lt;EDATE($Q70,1)))+
    ((Data[Stage Completion Date(Adopt)]&gt;=$Q70)*(Data[Stage Completion Date(Adopt)]&lt;EDATE($Q70,1)))
    &gt;0
  )
)</f>
        <v>0</v>
      </c>
      <c r="U70" s="193" cm="1">
        <f t="array" aca="1" ref="U70" ca="1">SUMPRODUCT(
  (Data[Track]=U$36)*
  (Data[Adopt Rebate Opt-In Status]="Opted In")*
  (Data[Stage]="Eligible")*
  (
    ((Data[Stage Completion Date (Purchase)]&gt;=$Q70)*(Data[Stage Completion Date (Purchase)]&lt;EDATE($Q70,1)))+
    ((Data[Stage Completion Date(onboard)]&gt;=$Q70)*(Data[Stage Completion Date(onboard)]&lt;EDATE($Q70,1)))+
    ((Data[Stage Completion Date (Implement)]&gt;=$Q70)*(Data[Stage Completion Date (Implement)]&lt;EDATE($Q70,1)))+
    ((Data[Stage Completion Date(Use)]&gt;=$Q70)*(Data[Stage Completion Date(Use)]&lt;EDATE($Q70,1)))+
    ((Data[Stage Completion Date(Engage)]&gt;=$Q70)*(Data[Stage Completion Date(Engage)]&lt;EDATE($Q70,1)))+
    ((Data[Stage Completion Date(Adopt)]&gt;=$Q70)*(Data[Stage Completion Date(Adopt)]&lt;EDATE($Q70,1)))
    &gt;0
  )
)</f>
        <v>0</v>
      </c>
      <c r="V70" s="193" cm="1">
        <f t="array" aca="1" ref="V70" ca="1">SUMPRODUCT(
  (Data[Track]=V$36)*
  (Data[Adopt Rebate Opt-In Status]="Opted In")*
  (Data[Stage]="Eligible")*
  (
    ((Data[Stage Completion Date (Purchase)]&gt;=$Q70)*(Data[Stage Completion Date (Purchase)]&lt;EDATE($Q70,1)))+
    ((Data[Stage Completion Date(onboard)]&gt;=$Q70)*(Data[Stage Completion Date(onboard)]&lt;EDATE($Q70,1)))+
    ((Data[Stage Completion Date (Implement)]&gt;=$Q70)*(Data[Stage Completion Date (Implement)]&lt;EDATE($Q70,1)))+
    ((Data[Stage Completion Date(Use)]&gt;=$Q70)*(Data[Stage Completion Date(Use)]&lt;EDATE($Q70,1)))+
    ((Data[Stage Completion Date(Engage)]&gt;=$Q70)*(Data[Stage Completion Date(Engage)]&lt;EDATE($Q70,1)))+
    ((Data[Stage Completion Date(Adopt)]&gt;=$Q70)*(Data[Stage Completion Date(Adopt)]&lt;EDATE($Q70,1)))
    &gt;0
  )
)</f>
        <v>0</v>
      </c>
      <c r="W70" s="193" cm="1">
        <f t="array" aca="1" ref="W70" ca="1">SUMPRODUCT(
  (Data[Track]=W$36)*
  (Data[Adopt Rebate Opt-In Status]="Opted In")*
  (Data[Stage]="Eligible")*
  (
    ((Data[Stage Completion Date (Purchase)]&gt;=$Q70)*(Data[Stage Completion Date (Purchase)]&lt;EDATE($Q70,1)))+
    ((Data[Stage Completion Date(onboard)]&gt;=$Q70)*(Data[Stage Completion Date(onboard)]&lt;EDATE($Q70,1)))+
    ((Data[Stage Completion Date (Implement)]&gt;=$Q70)*(Data[Stage Completion Date (Implement)]&lt;EDATE($Q70,1)))+
    ((Data[Stage Completion Date(Use)]&gt;=$Q70)*(Data[Stage Completion Date(Use)]&lt;EDATE($Q70,1)))+
    ((Data[Stage Completion Date(Engage)]&gt;=$Q70)*(Data[Stage Completion Date(Engage)]&lt;EDATE($Q70,1)))+
    ((Data[Stage Completion Date(Adopt)]&gt;=$Q70)*(Data[Stage Completion Date(Adopt)]&lt;EDATE($Q70,1)))
    &gt;0
  )
)</f>
        <v>0</v>
      </c>
      <c r="X70" s="193" cm="1">
        <f t="array" aca="1" ref="X70" ca="1">SUMPRODUCT(
  (Data[Track]=X$36)*
  (Data[Adopt Rebate Opt-In Status]="Opted In")*
  (Data[Stage]="Eligible")*
  (
    ((Data[Stage Completion Date (Purchase)]&gt;=$Q70)*(Data[Stage Completion Date (Purchase)]&lt;EDATE($Q70,1)))+
    ((Data[Stage Completion Date(onboard)]&gt;=$Q70)*(Data[Stage Completion Date(onboard)]&lt;EDATE($Q70,1)))+
    ((Data[Stage Completion Date (Implement)]&gt;=$Q70)*(Data[Stage Completion Date (Implement)]&lt;EDATE($Q70,1)))+
    ((Data[Stage Completion Date(Use)]&gt;=$Q70)*(Data[Stage Completion Date(Use)]&lt;EDATE($Q70,1)))+
    ((Data[Stage Completion Date(Engage)]&gt;=$Q70)*(Data[Stage Completion Date(Engage)]&lt;EDATE($Q70,1)))+
    ((Data[Stage Completion Date(Adopt)]&gt;=$Q70)*(Data[Stage Completion Date(Adopt)]&lt;EDATE($Q70,1)))
    &gt;0
  )
)</f>
        <v>0</v>
      </c>
      <c r="Y70" s="193" cm="1">
        <f t="array" aca="1" ref="Y70" ca="1">SUMPRODUCT(
  (Data[Track]=Y$36)*
  (Data[Adopt Rebate Opt-In Status]="Opted In")*
  (Data[Stage]="Eligible")*
  (
    ((Data[Stage Completion Date (Purchase)]&gt;=$Q70)*(Data[Stage Completion Date (Purchase)]&lt;EDATE($Q70,1)))+
    ((Data[Stage Completion Date(onboard)]&gt;=$Q70)*(Data[Stage Completion Date(onboard)]&lt;EDATE($Q70,1)))+
    ((Data[Stage Completion Date (Implement)]&gt;=$Q70)*(Data[Stage Completion Date (Implement)]&lt;EDATE($Q70,1)))+
    ((Data[Stage Completion Date(Use)]&gt;=$Q70)*(Data[Stage Completion Date(Use)]&lt;EDATE($Q70,1)))+
    ((Data[Stage Completion Date(Engage)]&gt;=$Q70)*(Data[Stage Completion Date(Engage)]&lt;EDATE($Q70,1)))+
    ((Data[Stage Completion Date(Adopt)]&gt;=$Q70)*(Data[Stage Completion Date(Adopt)]&lt;EDATE($Q70,1)))
    &gt;0
  )
)</f>
        <v>0</v>
      </c>
      <c r="Z70" s="193" cm="1">
        <f t="array" aca="1" ref="Z70" ca="1">SUMPRODUCT(
  (Data[Track]=Z$36)*
  (Data[Adopt Rebate Opt-In Status]="Opted In")*
  (Data[Stage]="Eligible")*
  (
    ((Data[Stage Completion Date (Purchase)]&gt;=$Q70)*(Data[Stage Completion Date (Purchase)]&lt;EDATE($Q70,1)))+
    ((Data[Stage Completion Date(onboard)]&gt;=$Q70)*(Data[Stage Completion Date(onboard)]&lt;EDATE($Q70,1)))+
    ((Data[Stage Completion Date (Implement)]&gt;=$Q70)*(Data[Stage Completion Date (Implement)]&lt;EDATE($Q70,1)))+
    ((Data[Stage Completion Date(Use)]&gt;=$Q70)*(Data[Stage Completion Date(Use)]&lt;EDATE($Q70,1)))+
    ((Data[Stage Completion Date(Engage)]&gt;=$Q70)*(Data[Stage Completion Date(Engage)]&lt;EDATE($Q70,1)))+
    ((Data[Stage Completion Date(Adopt)]&gt;=$Q70)*(Data[Stage Completion Date(Adopt)]&lt;EDATE($Q70,1)))
    &gt;0
  )
)</f>
        <v>0</v>
      </c>
      <c r="AA70" s="193" cm="1">
        <f t="array" aca="1" ref="AA70" ca="1">SUMPRODUCT(
  (Data[Track]=AA$36)*
  (Data[Adopt Rebate Opt-In Status]="Opted In")*
  (Data[Stage]="Eligible")*
  (
    ((Data[Stage Completion Date (Purchase)]&gt;=$Q70)*(Data[Stage Completion Date (Purchase)]&lt;EDATE($Q70,1)))+
    ((Data[Stage Completion Date(onboard)]&gt;=$Q70)*(Data[Stage Completion Date(onboard)]&lt;EDATE($Q70,1)))+
    ((Data[Stage Completion Date (Implement)]&gt;=$Q70)*(Data[Stage Completion Date (Implement)]&lt;EDATE($Q70,1)))+
    ((Data[Stage Completion Date(Use)]&gt;=$Q70)*(Data[Stage Completion Date(Use)]&lt;EDATE($Q70,1)))+
    ((Data[Stage Completion Date(Engage)]&gt;=$Q70)*(Data[Stage Completion Date(Engage)]&lt;EDATE($Q70,1)))+
    ((Data[Stage Completion Date(Adopt)]&gt;=$Q70)*(Data[Stage Completion Date(Adopt)]&lt;EDATE($Q70,1)))
    &gt;0
  )
)</f>
        <v>0</v>
      </c>
      <c r="AB70" s="193" cm="1">
        <f t="array" aca="1" ref="AB70" ca="1">SUMPRODUCT(
  (Data[Track]=AB$36)*
  (Data[Adopt Rebate Opt-In Status]="Opted In")*
  (Data[Stage]="Eligible")*
  (
    ((Data[Stage Completion Date (Purchase)]&gt;=$Q70)*(Data[Stage Completion Date (Purchase)]&lt;EDATE($Q70,1)))+
    ((Data[Stage Completion Date(onboard)]&gt;=$Q70)*(Data[Stage Completion Date(onboard)]&lt;EDATE($Q70,1)))+
    ((Data[Stage Completion Date (Implement)]&gt;=$Q70)*(Data[Stage Completion Date (Implement)]&lt;EDATE($Q70,1)))+
    ((Data[Stage Completion Date(Use)]&gt;=$Q70)*(Data[Stage Completion Date(Use)]&lt;EDATE($Q70,1)))+
    ((Data[Stage Completion Date(Engage)]&gt;=$Q70)*(Data[Stage Completion Date(Engage)]&lt;EDATE($Q70,1)))+
    ((Data[Stage Completion Date(Adopt)]&gt;=$Q70)*(Data[Stage Completion Date(Adopt)]&lt;EDATE($Q70,1)))
    &gt;0
  )
)</f>
        <v>0</v>
      </c>
      <c r="AC70" s="193" cm="1">
        <f t="array" aca="1" ref="AC70" ca="1">SUMPRODUCT(
  (Data[Track]=AC$36)*
  (Data[Adopt Rebate Opt-In Status]="Opted In")*
  (Data[Stage]="Eligible")*
  (
    ((Data[Stage Completion Date (Purchase)]&gt;=$Q70)*(Data[Stage Completion Date (Purchase)]&lt;EDATE($Q70,1)))+
    ((Data[Stage Completion Date(onboard)]&gt;=$Q70)*(Data[Stage Completion Date(onboard)]&lt;EDATE($Q70,1)))+
    ((Data[Stage Completion Date (Implement)]&gt;=$Q70)*(Data[Stage Completion Date (Implement)]&lt;EDATE($Q70,1)))+
    ((Data[Stage Completion Date(Use)]&gt;=$Q70)*(Data[Stage Completion Date(Use)]&lt;EDATE($Q70,1)))+
    ((Data[Stage Completion Date(Engage)]&gt;=$Q70)*(Data[Stage Completion Date(Engage)]&lt;EDATE($Q70,1)))+
    ((Data[Stage Completion Date(Adopt)]&gt;=$Q70)*(Data[Stage Completion Date(Adopt)]&lt;EDATE($Q70,1)))
    &gt;0
  )
)</f>
        <v>0</v>
      </c>
      <c r="AD70" s="194" cm="1">
        <f t="array" aca="1" ref="AD70" ca="1">SUM(_xlfn._xlws.FILTER($R70:$AC70, ISNUMBER(MATCH(_xlfn.ANCHORARRAY($R$36), _xlfn._xlws.FILTER(Hierarchy[[Offer]:[Offer]], Hierarchy[[Domain]:[Domain]]=AD$36), 0)), 0))</f>
        <v>0</v>
      </c>
      <c r="AE70" s="194" cm="1">
        <f t="array" aca="1" ref="AE70" ca="1">SUM(_xlfn._xlws.FILTER($R70:$AC70, ISNUMBER(MATCH(_xlfn.ANCHORARRAY($R$36), _xlfn._xlws.FILTER(Hierarchy[[Offer]:[Offer]], Hierarchy[[Domain]:[Domain]]=AE$36), 0)), 0))</f>
        <v>0</v>
      </c>
      <c r="AF70" s="194" cm="1">
        <f t="array" aca="1" ref="AF70" ca="1">SUM(_xlfn._xlws.FILTER($R70:$AC70, ISNUMBER(MATCH(_xlfn.ANCHORARRAY($R$36), _xlfn._xlws.FILTER(Hierarchy[[Offer]:[Offer]], Hierarchy[[Domain]:[Domain]]=AF$36), 0)), 0))</f>
        <v>0</v>
      </c>
      <c r="AG70" s="194" cm="1">
        <f t="array" aca="1" ref="AG70" ca="1">SUM(_xlfn._xlws.FILTER($R70:$AC70, ISNUMBER(MATCH(_xlfn.ANCHORARRAY($R$36), _xlfn._xlws.FILTER(Hierarchy[[Offer]:[Offer]], Hierarchy[[Domain]:[Domain]]=AG$36), 0)), 0))</f>
        <v>0</v>
      </c>
    </row>
    <row r="71" spans="17:33" x14ac:dyDescent="0.4">
      <c r="Q71" s="192">
        <f ca="1"/>
        <v>45839</v>
      </c>
      <c r="R71" s="193" cm="1">
        <f t="array" aca="1" ref="R71" ca="1">SUMPRODUCT(
  (Data[Track]=R$36)*
  (Data[Adopt Rebate Opt-In Status]="Opted In")*
  (Data[Stage]="Eligible")*
  (
    ((Data[Stage Completion Date (Purchase)]&gt;=$Q71)*(Data[Stage Completion Date (Purchase)]&lt;EDATE($Q71,1)))+
    ((Data[Stage Completion Date(onboard)]&gt;=$Q71)*(Data[Stage Completion Date(onboard)]&lt;EDATE($Q71,1)))+
    ((Data[Stage Completion Date (Implement)]&gt;=$Q71)*(Data[Stage Completion Date (Implement)]&lt;EDATE($Q71,1)))+
    ((Data[Stage Completion Date(Use)]&gt;=$Q71)*(Data[Stage Completion Date(Use)]&lt;EDATE($Q71,1)))+
    ((Data[Stage Completion Date(Engage)]&gt;=$Q71)*(Data[Stage Completion Date(Engage)]&lt;EDATE($Q71,1)))+
    ((Data[Stage Completion Date(Adopt)]&gt;=$Q71)*(Data[Stage Completion Date(Adopt)]&lt;EDATE($Q71,1)))
    &gt;0
  )
)</f>
        <v>0</v>
      </c>
      <c r="S71" s="193" cm="1">
        <f t="array" aca="1" ref="S71" ca="1">SUMPRODUCT(
  (Data[Track]=S$36)*
  (Data[Adopt Rebate Opt-In Status]="Opted In")*
  (Data[Stage]="Eligible")*
  (
    ((Data[Stage Completion Date (Purchase)]&gt;=$Q71)*(Data[Stage Completion Date (Purchase)]&lt;EDATE($Q71,1)))+
    ((Data[Stage Completion Date(onboard)]&gt;=$Q71)*(Data[Stage Completion Date(onboard)]&lt;EDATE($Q71,1)))+
    ((Data[Stage Completion Date (Implement)]&gt;=$Q71)*(Data[Stage Completion Date (Implement)]&lt;EDATE($Q71,1)))+
    ((Data[Stage Completion Date(Use)]&gt;=$Q71)*(Data[Stage Completion Date(Use)]&lt;EDATE($Q71,1)))+
    ((Data[Stage Completion Date(Engage)]&gt;=$Q71)*(Data[Stage Completion Date(Engage)]&lt;EDATE($Q71,1)))+
    ((Data[Stage Completion Date(Adopt)]&gt;=$Q71)*(Data[Stage Completion Date(Adopt)]&lt;EDATE($Q71,1)))
    &gt;0
  )
)</f>
        <v>0</v>
      </c>
      <c r="T71" s="193" cm="1">
        <f t="array" aca="1" ref="T71" ca="1">SUMPRODUCT(
  (Data[Track]=T$36)*
  (Data[Adopt Rebate Opt-In Status]="Opted In")*
  (Data[Stage]="Eligible")*
  (
    ((Data[Stage Completion Date (Purchase)]&gt;=$Q71)*(Data[Stage Completion Date (Purchase)]&lt;EDATE($Q71,1)))+
    ((Data[Stage Completion Date(onboard)]&gt;=$Q71)*(Data[Stage Completion Date(onboard)]&lt;EDATE($Q71,1)))+
    ((Data[Stage Completion Date (Implement)]&gt;=$Q71)*(Data[Stage Completion Date (Implement)]&lt;EDATE($Q71,1)))+
    ((Data[Stage Completion Date(Use)]&gt;=$Q71)*(Data[Stage Completion Date(Use)]&lt;EDATE($Q71,1)))+
    ((Data[Stage Completion Date(Engage)]&gt;=$Q71)*(Data[Stage Completion Date(Engage)]&lt;EDATE($Q71,1)))+
    ((Data[Stage Completion Date(Adopt)]&gt;=$Q71)*(Data[Stage Completion Date(Adopt)]&lt;EDATE($Q71,1)))
    &gt;0
  )
)</f>
        <v>0</v>
      </c>
      <c r="U71" s="193" cm="1">
        <f t="array" aca="1" ref="U71" ca="1">SUMPRODUCT(
  (Data[Track]=U$36)*
  (Data[Adopt Rebate Opt-In Status]="Opted In")*
  (Data[Stage]="Eligible")*
  (
    ((Data[Stage Completion Date (Purchase)]&gt;=$Q71)*(Data[Stage Completion Date (Purchase)]&lt;EDATE($Q71,1)))+
    ((Data[Stage Completion Date(onboard)]&gt;=$Q71)*(Data[Stage Completion Date(onboard)]&lt;EDATE($Q71,1)))+
    ((Data[Stage Completion Date (Implement)]&gt;=$Q71)*(Data[Stage Completion Date (Implement)]&lt;EDATE($Q71,1)))+
    ((Data[Stage Completion Date(Use)]&gt;=$Q71)*(Data[Stage Completion Date(Use)]&lt;EDATE($Q71,1)))+
    ((Data[Stage Completion Date(Engage)]&gt;=$Q71)*(Data[Stage Completion Date(Engage)]&lt;EDATE($Q71,1)))+
    ((Data[Stage Completion Date(Adopt)]&gt;=$Q71)*(Data[Stage Completion Date(Adopt)]&lt;EDATE($Q71,1)))
    &gt;0
  )
)</f>
        <v>0</v>
      </c>
      <c r="V71" s="193" cm="1">
        <f t="array" aca="1" ref="V71" ca="1">SUMPRODUCT(
  (Data[Track]=V$36)*
  (Data[Adopt Rebate Opt-In Status]="Opted In")*
  (Data[Stage]="Eligible")*
  (
    ((Data[Stage Completion Date (Purchase)]&gt;=$Q71)*(Data[Stage Completion Date (Purchase)]&lt;EDATE($Q71,1)))+
    ((Data[Stage Completion Date(onboard)]&gt;=$Q71)*(Data[Stage Completion Date(onboard)]&lt;EDATE($Q71,1)))+
    ((Data[Stage Completion Date (Implement)]&gt;=$Q71)*(Data[Stage Completion Date (Implement)]&lt;EDATE($Q71,1)))+
    ((Data[Stage Completion Date(Use)]&gt;=$Q71)*(Data[Stage Completion Date(Use)]&lt;EDATE($Q71,1)))+
    ((Data[Stage Completion Date(Engage)]&gt;=$Q71)*(Data[Stage Completion Date(Engage)]&lt;EDATE($Q71,1)))+
    ((Data[Stage Completion Date(Adopt)]&gt;=$Q71)*(Data[Stage Completion Date(Adopt)]&lt;EDATE($Q71,1)))
    &gt;0
  )
)</f>
        <v>0</v>
      </c>
      <c r="W71" s="193" cm="1">
        <f t="array" aca="1" ref="W71" ca="1">SUMPRODUCT(
  (Data[Track]=W$36)*
  (Data[Adopt Rebate Opt-In Status]="Opted In")*
  (Data[Stage]="Eligible")*
  (
    ((Data[Stage Completion Date (Purchase)]&gt;=$Q71)*(Data[Stage Completion Date (Purchase)]&lt;EDATE($Q71,1)))+
    ((Data[Stage Completion Date(onboard)]&gt;=$Q71)*(Data[Stage Completion Date(onboard)]&lt;EDATE($Q71,1)))+
    ((Data[Stage Completion Date (Implement)]&gt;=$Q71)*(Data[Stage Completion Date (Implement)]&lt;EDATE($Q71,1)))+
    ((Data[Stage Completion Date(Use)]&gt;=$Q71)*(Data[Stage Completion Date(Use)]&lt;EDATE($Q71,1)))+
    ((Data[Stage Completion Date(Engage)]&gt;=$Q71)*(Data[Stage Completion Date(Engage)]&lt;EDATE($Q71,1)))+
    ((Data[Stage Completion Date(Adopt)]&gt;=$Q71)*(Data[Stage Completion Date(Adopt)]&lt;EDATE($Q71,1)))
    &gt;0
  )
)</f>
        <v>0</v>
      </c>
      <c r="X71" s="193" cm="1">
        <f t="array" aca="1" ref="X71" ca="1">SUMPRODUCT(
  (Data[Track]=X$36)*
  (Data[Adopt Rebate Opt-In Status]="Opted In")*
  (Data[Stage]="Eligible")*
  (
    ((Data[Stage Completion Date (Purchase)]&gt;=$Q71)*(Data[Stage Completion Date (Purchase)]&lt;EDATE($Q71,1)))+
    ((Data[Stage Completion Date(onboard)]&gt;=$Q71)*(Data[Stage Completion Date(onboard)]&lt;EDATE($Q71,1)))+
    ((Data[Stage Completion Date (Implement)]&gt;=$Q71)*(Data[Stage Completion Date (Implement)]&lt;EDATE($Q71,1)))+
    ((Data[Stage Completion Date(Use)]&gt;=$Q71)*(Data[Stage Completion Date(Use)]&lt;EDATE($Q71,1)))+
    ((Data[Stage Completion Date(Engage)]&gt;=$Q71)*(Data[Stage Completion Date(Engage)]&lt;EDATE($Q71,1)))+
    ((Data[Stage Completion Date(Adopt)]&gt;=$Q71)*(Data[Stage Completion Date(Adopt)]&lt;EDATE($Q71,1)))
    &gt;0
  )
)</f>
        <v>0</v>
      </c>
      <c r="Y71" s="193" cm="1">
        <f t="array" aca="1" ref="Y71" ca="1">SUMPRODUCT(
  (Data[Track]=Y$36)*
  (Data[Adopt Rebate Opt-In Status]="Opted In")*
  (Data[Stage]="Eligible")*
  (
    ((Data[Stage Completion Date (Purchase)]&gt;=$Q71)*(Data[Stage Completion Date (Purchase)]&lt;EDATE($Q71,1)))+
    ((Data[Stage Completion Date(onboard)]&gt;=$Q71)*(Data[Stage Completion Date(onboard)]&lt;EDATE($Q71,1)))+
    ((Data[Stage Completion Date (Implement)]&gt;=$Q71)*(Data[Stage Completion Date (Implement)]&lt;EDATE($Q71,1)))+
    ((Data[Stage Completion Date(Use)]&gt;=$Q71)*(Data[Stage Completion Date(Use)]&lt;EDATE($Q71,1)))+
    ((Data[Stage Completion Date(Engage)]&gt;=$Q71)*(Data[Stage Completion Date(Engage)]&lt;EDATE($Q71,1)))+
    ((Data[Stage Completion Date(Adopt)]&gt;=$Q71)*(Data[Stage Completion Date(Adopt)]&lt;EDATE($Q71,1)))
    &gt;0
  )
)</f>
        <v>0</v>
      </c>
      <c r="Z71" s="193" cm="1">
        <f t="array" aca="1" ref="Z71" ca="1">SUMPRODUCT(
  (Data[Track]=Z$36)*
  (Data[Adopt Rebate Opt-In Status]="Opted In")*
  (Data[Stage]="Eligible")*
  (
    ((Data[Stage Completion Date (Purchase)]&gt;=$Q71)*(Data[Stage Completion Date (Purchase)]&lt;EDATE($Q71,1)))+
    ((Data[Stage Completion Date(onboard)]&gt;=$Q71)*(Data[Stage Completion Date(onboard)]&lt;EDATE($Q71,1)))+
    ((Data[Stage Completion Date (Implement)]&gt;=$Q71)*(Data[Stage Completion Date (Implement)]&lt;EDATE($Q71,1)))+
    ((Data[Stage Completion Date(Use)]&gt;=$Q71)*(Data[Stage Completion Date(Use)]&lt;EDATE($Q71,1)))+
    ((Data[Stage Completion Date(Engage)]&gt;=$Q71)*(Data[Stage Completion Date(Engage)]&lt;EDATE($Q71,1)))+
    ((Data[Stage Completion Date(Adopt)]&gt;=$Q71)*(Data[Stage Completion Date(Adopt)]&lt;EDATE($Q71,1)))
    &gt;0
  )
)</f>
        <v>0</v>
      </c>
      <c r="AA71" s="193" cm="1">
        <f t="array" aca="1" ref="AA71" ca="1">SUMPRODUCT(
  (Data[Track]=AA$36)*
  (Data[Adopt Rebate Opt-In Status]="Opted In")*
  (Data[Stage]="Eligible")*
  (
    ((Data[Stage Completion Date (Purchase)]&gt;=$Q71)*(Data[Stage Completion Date (Purchase)]&lt;EDATE($Q71,1)))+
    ((Data[Stage Completion Date(onboard)]&gt;=$Q71)*(Data[Stage Completion Date(onboard)]&lt;EDATE($Q71,1)))+
    ((Data[Stage Completion Date (Implement)]&gt;=$Q71)*(Data[Stage Completion Date (Implement)]&lt;EDATE($Q71,1)))+
    ((Data[Stage Completion Date(Use)]&gt;=$Q71)*(Data[Stage Completion Date(Use)]&lt;EDATE($Q71,1)))+
    ((Data[Stage Completion Date(Engage)]&gt;=$Q71)*(Data[Stage Completion Date(Engage)]&lt;EDATE($Q71,1)))+
    ((Data[Stage Completion Date(Adopt)]&gt;=$Q71)*(Data[Stage Completion Date(Adopt)]&lt;EDATE($Q71,1)))
    &gt;0
  )
)</f>
        <v>0</v>
      </c>
      <c r="AB71" s="193" cm="1">
        <f t="array" aca="1" ref="AB71" ca="1">SUMPRODUCT(
  (Data[Track]=AB$36)*
  (Data[Adopt Rebate Opt-In Status]="Opted In")*
  (Data[Stage]="Eligible")*
  (
    ((Data[Stage Completion Date (Purchase)]&gt;=$Q71)*(Data[Stage Completion Date (Purchase)]&lt;EDATE($Q71,1)))+
    ((Data[Stage Completion Date(onboard)]&gt;=$Q71)*(Data[Stage Completion Date(onboard)]&lt;EDATE($Q71,1)))+
    ((Data[Stage Completion Date (Implement)]&gt;=$Q71)*(Data[Stage Completion Date (Implement)]&lt;EDATE($Q71,1)))+
    ((Data[Stage Completion Date(Use)]&gt;=$Q71)*(Data[Stage Completion Date(Use)]&lt;EDATE($Q71,1)))+
    ((Data[Stage Completion Date(Engage)]&gt;=$Q71)*(Data[Stage Completion Date(Engage)]&lt;EDATE($Q71,1)))+
    ((Data[Stage Completion Date(Adopt)]&gt;=$Q71)*(Data[Stage Completion Date(Adopt)]&lt;EDATE($Q71,1)))
    &gt;0
  )
)</f>
        <v>0</v>
      </c>
      <c r="AC71" s="193" cm="1">
        <f t="array" aca="1" ref="AC71" ca="1">SUMPRODUCT(
  (Data[Track]=AC$36)*
  (Data[Adopt Rebate Opt-In Status]="Opted In")*
  (Data[Stage]="Eligible")*
  (
    ((Data[Stage Completion Date (Purchase)]&gt;=$Q71)*(Data[Stage Completion Date (Purchase)]&lt;EDATE($Q71,1)))+
    ((Data[Stage Completion Date(onboard)]&gt;=$Q71)*(Data[Stage Completion Date(onboard)]&lt;EDATE($Q71,1)))+
    ((Data[Stage Completion Date (Implement)]&gt;=$Q71)*(Data[Stage Completion Date (Implement)]&lt;EDATE($Q71,1)))+
    ((Data[Stage Completion Date(Use)]&gt;=$Q71)*(Data[Stage Completion Date(Use)]&lt;EDATE($Q71,1)))+
    ((Data[Stage Completion Date(Engage)]&gt;=$Q71)*(Data[Stage Completion Date(Engage)]&lt;EDATE($Q71,1)))+
    ((Data[Stage Completion Date(Adopt)]&gt;=$Q71)*(Data[Stage Completion Date(Adopt)]&lt;EDATE($Q71,1)))
    &gt;0
  )
)</f>
        <v>0</v>
      </c>
      <c r="AD71" s="194" cm="1">
        <f t="array" aca="1" ref="AD71" ca="1">SUM(_xlfn._xlws.FILTER($R71:$AC71, ISNUMBER(MATCH(_xlfn.ANCHORARRAY($R$36), _xlfn._xlws.FILTER(Hierarchy[[Offer]:[Offer]], Hierarchy[[Domain]:[Domain]]=AD$36), 0)), 0))</f>
        <v>0</v>
      </c>
      <c r="AE71" s="194" cm="1">
        <f t="array" aca="1" ref="AE71" ca="1">SUM(_xlfn._xlws.FILTER($R71:$AC71, ISNUMBER(MATCH(_xlfn.ANCHORARRAY($R$36), _xlfn._xlws.FILTER(Hierarchy[[Offer]:[Offer]], Hierarchy[[Domain]:[Domain]]=AE$36), 0)), 0))</f>
        <v>0</v>
      </c>
      <c r="AF71" s="194" cm="1">
        <f t="array" aca="1" ref="AF71" ca="1">SUM(_xlfn._xlws.FILTER($R71:$AC71, ISNUMBER(MATCH(_xlfn.ANCHORARRAY($R$36), _xlfn._xlws.FILTER(Hierarchy[[Offer]:[Offer]], Hierarchy[[Domain]:[Domain]]=AF$36), 0)), 0))</f>
        <v>0</v>
      </c>
      <c r="AG71" s="194" cm="1">
        <f t="array" aca="1" ref="AG71" ca="1">SUM(_xlfn._xlws.FILTER($R71:$AC71, ISNUMBER(MATCH(_xlfn.ANCHORARRAY($R$36), _xlfn._xlws.FILTER(Hierarchy[[Offer]:[Offer]], Hierarchy[[Domain]:[Domain]]=AG$36), 0)), 0))</f>
        <v>0</v>
      </c>
    </row>
    <row r="72" spans="17:33" x14ac:dyDescent="0.4">
      <c r="Q72" s="192">
        <f ca="1"/>
        <v>45809</v>
      </c>
      <c r="R72" s="193" cm="1">
        <f t="array" aca="1" ref="R72" ca="1">SUMPRODUCT(
  (Data[Track]=R$36)*
  (Data[Adopt Rebate Opt-In Status]="Opted In")*
  (Data[Stage]="Eligible")*
  (
    ((Data[Stage Completion Date (Purchase)]&gt;=$Q72)*(Data[Stage Completion Date (Purchase)]&lt;EDATE($Q72,1)))+
    ((Data[Stage Completion Date(onboard)]&gt;=$Q72)*(Data[Stage Completion Date(onboard)]&lt;EDATE($Q72,1)))+
    ((Data[Stage Completion Date (Implement)]&gt;=$Q72)*(Data[Stage Completion Date (Implement)]&lt;EDATE($Q72,1)))+
    ((Data[Stage Completion Date(Use)]&gt;=$Q72)*(Data[Stage Completion Date(Use)]&lt;EDATE($Q72,1)))+
    ((Data[Stage Completion Date(Engage)]&gt;=$Q72)*(Data[Stage Completion Date(Engage)]&lt;EDATE($Q72,1)))+
    ((Data[Stage Completion Date(Adopt)]&gt;=$Q72)*(Data[Stage Completion Date(Adopt)]&lt;EDATE($Q72,1)))
    &gt;0
  )
)</f>
        <v>0</v>
      </c>
      <c r="S72" s="193" cm="1">
        <f t="array" aca="1" ref="S72" ca="1">SUMPRODUCT(
  (Data[Track]=S$36)*
  (Data[Adopt Rebate Opt-In Status]="Opted In")*
  (Data[Stage]="Eligible")*
  (
    ((Data[Stage Completion Date (Purchase)]&gt;=$Q72)*(Data[Stage Completion Date (Purchase)]&lt;EDATE($Q72,1)))+
    ((Data[Stage Completion Date(onboard)]&gt;=$Q72)*(Data[Stage Completion Date(onboard)]&lt;EDATE($Q72,1)))+
    ((Data[Stage Completion Date (Implement)]&gt;=$Q72)*(Data[Stage Completion Date (Implement)]&lt;EDATE($Q72,1)))+
    ((Data[Stage Completion Date(Use)]&gt;=$Q72)*(Data[Stage Completion Date(Use)]&lt;EDATE($Q72,1)))+
    ((Data[Stage Completion Date(Engage)]&gt;=$Q72)*(Data[Stage Completion Date(Engage)]&lt;EDATE($Q72,1)))+
    ((Data[Stage Completion Date(Adopt)]&gt;=$Q72)*(Data[Stage Completion Date(Adopt)]&lt;EDATE($Q72,1)))
    &gt;0
  )
)</f>
        <v>0</v>
      </c>
      <c r="T72" s="193" cm="1">
        <f t="array" aca="1" ref="T72" ca="1">SUMPRODUCT(
  (Data[Track]=T$36)*
  (Data[Adopt Rebate Opt-In Status]="Opted In")*
  (Data[Stage]="Eligible")*
  (
    ((Data[Stage Completion Date (Purchase)]&gt;=$Q72)*(Data[Stage Completion Date (Purchase)]&lt;EDATE($Q72,1)))+
    ((Data[Stage Completion Date(onboard)]&gt;=$Q72)*(Data[Stage Completion Date(onboard)]&lt;EDATE($Q72,1)))+
    ((Data[Stage Completion Date (Implement)]&gt;=$Q72)*(Data[Stage Completion Date (Implement)]&lt;EDATE($Q72,1)))+
    ((Data[Stage Completion Date(Use)]&gt;=$Q72)*(Data[Stage Completion Date(Use)]&lt;EDATE($Q72,1)))+
    ((Data[Stage Completion Date(Engage)]&gt;=$Q72)*(Data[Stage Completion Date(Engage)]&lt;EDATE($Q72,1)))+
    ((Data[Stage Completion Date(Adopt)]&gt;=$Q72)*(Data[Stage Completion Date(Adopt)]&lt;EDATE($Q72,1)))
    &gt;0
  )
)</f>
        <v>0</v>
      </c>
      <c r="U72" s="193" cm="1">
        <f t="array" aca="1" ref="U72" ca="1">SUMPRODUCT(
  (Data[Track]=U$36)*
  (Data[Adopt Rebate Opt-In Status]="Opted In")*
  (Data[Stage]="Eligible")*
  (
    ((Data[Stage Completion Date (Purchase)]&gt;=$Q72)*(Data[Stage Completion Date (Purchase)]&lt;EDATE($Q72,1)))+
    ((Data[Stage Completion Date(onboard)]&gt;=$Q72)*(Data[Stage Completion Date(onboard)]&lt;EDATE($Q72,1)))+
    ((Data[Stage Completion Date (Implement)]&gt;=$Q72)*(Data[Stage Completion Date (Implement)]&lt;EDATE($Q72,1)))+
    ((Data[Stage Completion Date(Use)]&gt;=$Q72)*(Data[Stage Completion Date(Use)]&lt;EDATE($Q72,1)))+
    ((Data[Stage Completion Date(Engage)]&gt;=$Q72)*(Data[Stage Completion Date(Engage)]&lt;EDATE($Q72,1)))+
    ((Data[Stage Completion Date(Adopt)]&gt;=$Q72)*(Data[Stage Completion Date(Adopt)]&lt;EDATE($Q72,1)))
    &gt;0
  )
)</f>
        <v>0</v>
      </c>
      <c r="V72" s="193" cm="1">
        <f t="array" aca="1" ref="V72" ca="1">SUMPRODUCT(
  (Data[Track]=V$36)*
  (Data[Adopt Rebate Opt-In Status]="Opted In")*
  (Data[Stage]="Eligible")*
  (
    ((Data[Stage Completion Date (Purchase)]&gt;=$Q72)*(Data[Stage Completion Date (Purchase)]&lt;EDATE($Q72,1)))+
    ((Data[Stage Completion Date(onboard)]&gt;=$Q72)*(Data[Stage Completion Date(onboard)]&lt;EDATE($Q72,1)))+
    ((Data[Stage Completion Date (Implement)]&gt;=$Q72)*(Data[Stage Completion Date (Implement)]&lt;EDATE($Q72,1)))+
    ((Data[Stage Completion Date(Use)]&gt;=$Q72)*(Data[Stage Completion Date(Use)]&lt;EDATE($Q72,1)))+
    ((Data[Stage Completion Date(Engage)]&gt;=$Q72)*(Data[Stage Completion Date(Engage)]&lt;EDATE($Q72,1)))+
    ((Data[Stage Completion Date(Adopt)]&gt;=$Q72)*(Data[Stage Completion Date(Adopt)]&lt;EDATE($Q72,1)))
    &gt;0
  )
)</f>
        <v>0</v>
      </c>
      <c r="W72" s="193" cm="1">
        <f t="array" aca="1" ref="W72" ca="1">SUMPRODUCT(
  (Data[Track]=W$36)*
  (Data[Adopt Rebate Opt-In Status]="Opted In")*
  (Data[Stage]="Eligible")*
  (
    ((Data[Stage Completion Date (Purchase)]&gt;=$Q72)*(Data[Stage Completion Date (Purchase)]&lt;EDATE($Q72,1)))+
    ((Data[Stage Completion Date(onboard)]&gt;=$Q72)*(Data[Stage Completion Date(onboard)]&lt;EDATE($Q72,1)))+
    ((Data[Stage Completion Date (Implement)]&gt;=$Q72)*(Data[Stage Completion Date (Implement)]&lt;EDATE($Q72,1)))+
    ((Data[Stage Completion Date(Use)]&gt;=$Q72)*(Data[Stage Completion Date(Use)]&lt;EDATE($Q72,1)))+
    ((Data[Stage Completion Date(Engage)]&gt;=$Q72)*(Data[Stage Completion Date(Engage)]&lt;EDATE($Q72,1)))+
    ((Data[Stage Completion Date(Adopt)]&gt;=$Q72)*(Data[Stage Completion Date(Adopt)]&lt;EDATE($Q72,1)))
    &gt;0
  )
)</f>
        <v>0</v>
      </c>
      <c r="X72" s="193" cm="1">
        <f t="array" aca="1" ref="X72" ca="1">SUMPRODUCT(
  (Data[Track]=X$36)*
  (Data[Adopt Rebate Opt-In Status]="Opted In")*
  (Data[Stage]="Eligible")*
  (
    ((Data[Stage Completion Date (Purchase)]&gt;=$Q72)*(Data[Stage Completion Date (Purchase)]&lt;EDATE($Q72,1)))+
    ((Data[Stage Completion Date(onboard)]&gt;=$Q72)*(Data[Stage Completion Date(onboard)]&lt;EDATE($Q72,1)))+
    ((Data[Stage Completion Date (Implement)]&gt;=$Q72)*(Data[Stage Completion Date (Implement)]&lt;EDATE($Q72,1)))+
    ((Data[Stage Completion Date(Use)]&gt;=$Q72)*(Data[Stage Completion Date(Use)]&lt;EDATE($Q72,1)))+
    ((Data[Stage Completion Date(Engage)]&gt;=$Q72)*(Data[Stage Completion Date(Engage)]&lt;EDATE($Q72,1)))+
    ((Data[Stage Completion Date(Adopt)]&gt;=$Q72)*(Data[Stage Completion Date(Adopt)]&lt;EDATE($Q72,1)))
    &gt;0
  )
)</f>
        <v>0</v>
      </c>
      <c r="Y72" s="193" cm="1">
        <f t="array" aca="1" ref="Y72" ca="1">SUMPRODUCT(
  (Data[Track]=Y$36)*
  (Data[Adopt Rebate Opt-In Status]="Opted In")*
  (Data[Stage]="Eligible")*
  (
    ((Data[Stage Completion Date (Purchase)]&gt;=$Q72)*(Data[Stage Completion Date (Purchase)]&lt;EDATE($Q72,1)))+
    ((Data[Stage Completion Date(onboard)]&gt;=$Q72)*(Data[Stage Completion Date(onboard)]&lt;EDATE($Q72,1)))+
    ((Data[Stage Completion Date (Implement)]&gt;=$Q72)*(Data[Stage Completion Date (Implement)]&lt;EDATE($Q72,1)))+
    ((Data[Stage Completion Date(Use)]&gt;=$Q72)*(Data[Stage Completion Date(Use)]&lt;EDATE($Q72,1)))+
    ((Data[Stage Completion Date(Engage)]&gt;=$Q72)*(Data[Stage Completion Date(Engage)]&lt;EDATE($Q72,1)))+
    ((Data[Stage Completion Date(Adopt)]&gt;=$Q72)*(Data[Stage Completion Date(Adopt)]&lt;EDATE($Q72,1)))
    &gt;0
  )
)</f>
        <v>0</v>
      </c>
      <c r="Z72" s="193" cm="1">
        <f t="array" aca="1" ref="Z72" ca="1">SUMPRODUCT(
  (Data[Track]=Z$36)*
  (Data[Adopt Rebate Opt-In Status]="Opted In")*
  (Data[Stage]="Eligible")*
  (
    ((Data[Stage Completion Date (Purchase)]&gt;=$Q72)*(Data[Stage Completion Date (Purchase)]&lt;EDATE($Q72,1)))+
    ((Data[Stage Completion Date(onboard)]&gt;=$Q72)*(Data[Stage Completion Date(onboard)]&lt;EDATE($Q72,1)))+
    ((Data[Stage Completion Date (Implement)]&gt;=$Q72)*(Data[Stage Completion Date (Implement)]&lt;EDATE($Q72,1)))+
    ((Data[Stage Completion Date(Use)]&gt;=$Q72)*(Data[Stage Completion Date(Use)]&lt;EDATE($Q72,1)))+
    ((Data[Stage Completion Date(Engage)]&gt;=$Q72)*(Data[Stage Completion Date(Engage)]&lt;EDATE($Q72,1)))+
    ((Data[Stage Completion Date(Adopt)]&gt;=$Q72)*(Data[Stage Completion Date(Adopt)]&lt;EDATE($Q72,1)))
    &gt;0
  )
)</f>
        <v>0</v>
      </c>
      <c r="AA72" s="193" cm="1">
        <f t="array" aca="1" ref="AA72" ca="1">SUMPRODUCT(
  (Data[Track]=AA$36)*
  (Data[Adopt Rebate Opt-In Status]="Opted In")*
  (Data[Stage]="Eligible")*
  (
    ((Data[Stage Completion Date (Purchase)]&gt;=$Q72)*(Data[Stage Completion Date (Purchase)]&lt;EDATE($Q72,1)))+
    ((Data[Stage Completion Date(onboard)]&gt;=$Q72)*(Data[Stage Completion Date(onboard)]&lt;EDATE($Q72,1)))+
    ((Data[Stage Completion Date (Implement)]&gt;=$Q72)*(Data[Stage Completion Date (Implement)]&lt;EDATE($Q72,1)))+
    ((Data[Stage Completion Date(Use)]&gt;=$Q72)*(Data[Stage Completion Date(Use)]&lt;EDATE($Q72,1)))+
    ((Data[Stage Completion Date(Engage)]&gt;=$Q72)*(Data[Stage Completion Date(Engage)]&lt;EDATE($Q72,1)))+
    ((Data[Stage Completion Date(Adopt)]&gt;=$Q72)*(Data[Stage Completion Date(Adopt)]&lt;EDATE($Q72,1)))
    &gt;0
  )
)</f>
        <v>0</v>
      </c>
      <c r="AB72" s="193" cm="1">
        <f t="array" aca="1" ref="AB72" ca="1">SUMPRODUCT(
  (Data[Track]=AB$36)*
  (Data[Adopt Rebate Opt-In Status]="Opted In")*
  (Data[Stage]="Eligible")*
  (
    ((Data[Stage Completion Date (Purchase)]&gt;=$Q72)*(Data[Stage Completion Date (Purchase)]&lt;EDATE($Q72,1)))+
    ((Data[Stage Completion Date(onboard)]&gt;=$Q72)*(Data[Stage Completion Date(onboard)]&lt;EDATE($Q72,1)))+
    ((Data[Stage Completion Date (Implement)]&gt;=$Q72)*(Data[Stage Completion Date (Implement)]&lt;EDATE($Q72,1)))+
    ((Data[Stage Completion Date(Use)]&gt;=$Q72)*(Data[Stage Completion Date(Use)]&lt;EDATE($Q72,1)))+
    ((Data[Stage Completion Date(Engage)]&gt;=$Q72)*(Data[Stage Completion Date(Engage)]&lt;EDATE($Q72,1)))+
    ((Data[Stage Completion Date(Adopt)]&gt;=$Q72)*(Data[Stage Completion Date(Adopt)]&lt;EDATE($Q72,1)))
    &gt;0
  )
)</f>
        <v>0</v>
      </c>
      <c r="AC72" s="193" cm="1">
        <f t="array" aca="1" ref="AC72" ca="1">SUMPRODUCT(
  (Data[Track]=AC$36)*
  (Data[Adopt Rebate Opt-In Status]="Opted In")*
  (Data[Stage]="Eligible")*
  (
    ((Data[Stage Completion Date (Purchase)]&gt;=$Q72)*(Data[Stage Completion Date (Purchase)]&lt;EDATE($Q72,1)))+
    ((Data[Stage Completion Date(onboard)]&gt;=$Q72)*(Data[Stage Completion Date(onboard)]&lt;EDATE($Q72,1)))+
    ((Data[Stage Completion Date (Implement)]&gt;=$Q72)*(Data[Stage Completion Date (Implement)]&lt;EDATE($Q72,1)))+
    ((Data[Stage Completion Date(Use)]&gt;=$Q72)*(Data[Stage Completion Date(Use)]&lt;EDATE($Q72,1)))+
    ((Data[Stage Completion Date(Engage)]&gt;=$Q72)*(Data[Stage Completion Date(Engage)]&lt;EDATE($Q72,1)))+
    ((Data[Stage Completion Date(Adopt)]&gt;=$Q72)*(Data[Stage Completion Date(Adopt)]&lt;EDATE($Q72,1)))
    &gt;0
  )
)</f>
        <v>0</v>
      </c>
      <c r="AD72" s="194" cm="1">
        <f t="array" aca="1" ref="AD72" ca="1">SUM(_xlfn._xlws.FILTER($R72:$AC72, ISNUMBER(MATCH(_xlfn.ANCHORARRAY($R$36), _xlfn._xlws.FILTER(Hierarchy[[Offer]:[Offer]], Hierarchy[[Domain]:[Domain]]=AD$36), 0)), 0))</f>
        <v>0</v>
      </c>
      <c r="AE72" s="194" cm="1">
        <f t="array" aca="1" ref="AE72" ca="1">SUM(_xlfn._xlws.FILTER($R72:$AC72, ISNUMBER(MATCH(_xlfn.ANCHORARRAY($R$36), _xlfn._xlws.FILTER(Hierarchy[[Offer]:[Offer]], Hierarchy[[Domain]:[Domain]]=AE$36), 0)), 0))</f>
        <v>0</v>
      </c>
      <c r="AF72" s="194" cm="1">
        <f t="array" aca="1" ref="AF72" ca="1">SUM(_xlfn._xlws.FILTER($R72:$AC72, ISNUMBER(MATCH(_xlfn.ANCHORARRAY($R$36), _xlfn._xlws.FILTER(Hierarchy[[Offer]:[Offer]], Hierarchy[[Domain]:[Domain]]=AF$36), 0)), 0))</f>
        <v>0</v>
      </c>
      <c r="AG72" s="194" cm="1">
        <f t="array" aca="1" ref="AG72" ca="1">SUM(_xlfn._xlws.FILTER($R72:$AC72, ISNUMBER(MATCH(_xlfn.ANCHORARRAY($R$36), _xlfn._xlws.FILTER(Hierarchy[[Offer]:[Offer]], Hierarchy[[Domain]:[Domain]]=AG$36), 0)), 0))</f>
        <v>0</v>
      </c>
    </row>
  </sheetData>
  <mergeCells count="8">
    <mergeCell ref="P18:P20"/>
    <mergeCell ref="P21:P22"/>
    <mergeCell ref="I3:N3"/>
    <mergeCell ref="I15:N15"/>
    <mergeCell ref="I1:N1"/>
    <mergeCell ref="I2:J2"/>
    <mergeCell ref="K2:L2"/>
    <mergeCell ref="M2:N2"/>
  </mergeCells>
  <phoneticPr fontId="3" type="noConversion"/>
  <hyperlinks>
    <hyperlink ref="AR2" r:id="rId1" xr:uid="{FEB02ADA-FFBE-4D1E-ACFF-699DA37FB616}"/>
    <hyperlink ref="AR3" r:id="rId2" xr:uid="{B2F0DD58-FAFB-40F2-AD43-5467CD0C0C5D}"/>
    <hyperlink ref="AR4" r:id="rId3" xr:uid="{7EFC0E23-95FF-40C6-B1AF-DCB36F93749D}"/>
    <hyperlink ref="AR5" r:id="rId4" xr:uid="{71BC25BA-8A0C-4269-A1D3-3C858ABD6D07}"/>
    <hyperlink ref="AR9" r:id="rId5" xr:uid="{D328C484-E172-405E-B614-E80A47642E10}"/>
    <hyperlink ref="AR8" r:id="rId6" xr:uid="{20B67001-56E9-40D2-AA8A-2A90715ED87E}"/>
    <hyperlink ref="AR7" r:id="rId7" xr:uid="{FDE9588D-0D52-40D9-A45C-2D8C983A688F}"/>
    <hyperlink ref="AR6" r:id="rId8" xr:uid="{2C056125-2F33-470D-B52B-08D180C95C76}"/>
    <hyperlink ref="AR14" r:id="rId9" xr:uid="{03001FB4-AA07-4222-8C4A-C3DB2B851DCD}"/>
    <hyperlink ref="AR12" r:id="rId10" xr:uid="{9C5FFAF7-FA96-4B84-92EB-69EC640FACA1}"/>
    <hyperlink ref="AR13" r:id="rId11" xr:uid="{A73A54BF-4E0B-4520-9C50-B8F631A00407}"/>
    <hyperlink ref="AR10" r:id="rId12" xr:uid="{6159E679-508F-4EE9-8332-D5104BAE9733}"/>
    <hyperlink ref="AR11" r:id="rId13" xr:uid="{27DE9AA3-1642-498A-9872-41CBAE8E4624}"/>
    <hyperlink ref="AR21" r:id="rId14" xr:uid="{C062DAF7-BB36-4A6B-8AB3-E338F139D50D}"/>
    <hyperlink ref="AR22" r:id="rId15" xr:uid="{9D55C2F7-03A0-41F2-91FE-C1C4C86705A5}"/>
    <hyperlink ref="AR23" r:id="rId16" xr:uid="{5CD01D34-78BE-4B60-8D15-1C52BBFDECF5}"/>
    <hyperlink ref="AR25" r:id="rId17" xr:uid="{7BBBE2AD-A171-4CE3-9E78-204DDE8C0426}"/>
    <hyperlink ref="AR24" r:id="rId18" xr:uid="{2EF1535A-BEC6-48DF-85EB-2967E1F04671}"/>
    <hyperlink ref="AR26" r:id="rId19" xr:uid="{E9FCA361-F4E5-46C0-BEA7-EFB9F72F6278}"/>
    <hyperlink ref="AR27" r:id="rId20" xr:uid="{117BEF2B-4360-4DBA-B00B-492C30062C60}"/>
    <hyperlink ref="AR20" r:id="rId21" xr:uid="{6295502A-37DB-4128-BE7F-57419D1F4BF5}"/>
    <hyperlink ref="AR19" r:id="rId22" xr:uid="{ACA41C70-9D84-4CC5-981D-9D5FEC393E61}"/>
    <hyperlink ref="AR17" r:id="rId23" xr:uid="{E4152B42-189E-44B6-AE61-78D74D958F00}"/>
    <hyperlink ref="AR18" r:id="rId24" xr:uid="{56BCBBE5-6103-40CA-BC7D-F1259D6312C2}"/>
    <hyperlink ref="AR15" r:id="rId25" xr:uid="{9853928D-750E-4960-AB9E-947901E4288F}"/>
    <hyperlink ref="AR16" r:id="rId26" xr:uid="{BC6D996F-F605-4DAE-9C7E-6AB5E4376B92}"/>
  </hyperlinks>
  <pageMargins left="0.7" right="0.7" top="0.75" bottom="0.75" header="0.3" footer="0.3"/>
  <tableParts count="1">
    <tablePart r:id="rId27"/>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2B9F90-985E-4F6F-868C-35D1E3BF609B}">
  <sheetPr codeName="Sheet7">
    <tabColor theme="1"/>
  </sheetPr>
  <dimension ref="A1:A3"/>
  <sheetViews>
    <sheetView showGridLines="0" zoomScale="145" zoomScaleNormal="145" workbookViewId="0">
      <selection activeCell="F36" sqref="F36"/>
    </sheetView>
  </sheetViews>
  <sheetFormatPr defaultRowHeight="14.6" x14ac:dyDescent="0.4"/>
  <sheetData>
    <row r="1" spans="1:1" x14ac:dyDescent="0.4">
      <c r="A1" t="s">
        <v>190</v>
      </c>
    </row>
    <row r="2" spans="1:1" x14ac:dyDescent="0.4">
      <c r="A2" t="s">
        <v>191</v>
      </c>
    </row>
    <row r="3" spans="1:1" x14ac:dyDescent="0.4">
      <c r="A3" t="s">
        <v>192</v>
      </c>
    </row>
  </sheetData>
  <sheetProtection sheet="1" objects="1" scenario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972687846466154AB4D9CA5FA0963316" ma:contentTypeVersion="27" ma:contentTypeDescription="Create a new document." ma:contentTypeScope="" ma:versionID="6aa912aeeb38fb063586cd7bf80e268f">
  <xsd:schema xmlns:xsd="http://www.w3.org/2001/XMLSchema" xmlns:xs="http://www.w3.org/2001/XMLSchema" xmlns:p="http://schemas.microsoft.com/office/2006/metadata/properties" xmlns:ns2="cf32ca27-b812-4875-9172-aeddc60e1a0d" xmlns:ns3="7a3d7be8-611a-453e-9513-7f7966296ebc" targetNamespace="http://schemas.microsoft.com/office/2006/metadata/properties" ma:root="true" ma:fieldsID="b5c9e7b07d3168d29ece519c65c83f25" ns2:_="" ns3:_="">
    <xsd:import namespace="cf32ca27-b812-4875-9172-aeddc60e1a0d"/>
    <xsd:import namespace="7a3d7be8-611a-453e-9513-7f7966296ebc"/>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ObjectDetectorVersions" minOccurs="0"/>
                <xsd:element ref="ns3:MediaServiceSearchProperties" minOccurs="0"/>
                <xsd:element ref="ns3:MediaServiceDateTaken" minOccurs="0"/>
                <xsd:element ref="ns3:MediaServiceGenerationTime" minOccurs="0"/>
                <xsd:element ref="ns3:MediaServiceEventHashCode" minOccurs="0"/>
                <xsd:element ref="ns3:lcf76f155ced4ddcb4097134ff3c332f" minOccurs="0"/>
                <xsd:element ref="ns2:TaxCatchAll" minOccurs="0"/>
                <xsd:element ref="ns3:MediaServiceOCR" minOccurs="0"/>
                <xsd:element ref="ns3:MediaLengthInSeconds" minOccurs="0"/>
                <xsd:element ref="ns3:MediaServiceLocation" minOccurs="0"/>
                <xsd:element ref="ns3:MediaServiceBillingMetadata" minOccurs="0"/>
                <xsd:element ref="ns3:Notes" minOccurs="0"/>
                <xsd:element ref="ns3:Architecture" minOccurs="0"/>
                <xsd:element ref="ns3:Lastupdate" minOccurs="0"/>
                <xsd:element ref="ns3:Status" minOccurs="0"/>
                <xsd:element ref="ns3:Release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f32ca27-b812-4875-9172-aeddc60e1a0d"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19" nillable="true" ma:displayName="Taxonomy Catch All Column" ma:hidden="true" ma:list="{29bf594e-7146-4b4b-8595-f2819389c834}" ma:internalName="TaxCatchAll" ma:showField="CatchAllData" ma:web="cf32ca27-b812-4875-9172-aeddc60e1a0d">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7a3d7be8-611a-453e-9513-7f7966296ebc"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710261dd-85c0-4e16-8580-30375acfae1f"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element name="MediaLengthInSeconds" ma:index="21" nillable="true" ma:displayName="MediaLengthInSeconds" ma:hidden="true" ma:internalName="MediaLengthInSeconds" ma:readOnly="true">
      <xsd:simpleType>
        <xsd:restriction base="dms:Unknown"/>
      </xsd:simpleType>
    </xsd:element>
    <xsd:element name="MediaServiceLocation" ma:index="22" nillable="true" ma:displayName="Location" ma:indexed="true" ma:internalName="MediaServiceLocation" ma:readOnly="true">
      <xsd:simpleType>
        <xsd:restriction base="dms:Text"/>
      </xsd:simpleType>
    </xsd:element>
    <xsd:element name="MediaServiceBillingMetadata" ma:index="23" nillable="true" ma:displayName="MediaServiceBillingMetadata" ma:hidden="true" ma:internalName="MediaServiceBillingMetadata" ma:readOnly="true">
      <xsd:simpleType>
        <xsd:restriction base="dms:Note"/>
      </xsd:simpleType>
    </xsd:element>
    <xsd:element name="Notes" ma:index="24" nillable="true" ma:displayName="Notes" ma:format="Dropdown" ma:internalName="Notes">
      <xsd:simpleType>
        <xsd:restriction base="dms:Note">
          <xsd:maxLength value="255"/>
        </xsd:restriction>
      </xsd:simpleType>
    </xsd:element>
    <xsd:element name="Architecture" ma:index="25" nillable="true" ma:displayName="Architecture" ma:format="Dropdown" ma:internalName="Architecture">
      <xsd:simpleType>
        <xsd:restriction base="dms:Choice">
          <xsd:enumeration value="Networking"/>
          <xsd:enumeration value="Cloud &amp; AI"/>
          <xsd:enumeration value="Security"/>
        </xsd:restriction>
      </xsd:simpleType>
    </xsd:element>
    <xsd:element name="Lastupdate" ma:index="26" nillable="true" ma:displayName="Last update" ma:format="Dropdown" ma:internalName="Lastupdate">
      <xsd:simpleType>
        <xsd:restriction base="dms:Note">
          <xsd:maxLength value="255"/>
        </xsd:restriction>
      </xsd:simpleType>
    </xsd:element>
    <xsd:element name="Status" ma:index="27" nillable="true" ma:displayName="Status" ma:format="RadioButtons" ma:internalName="Status">
      <xsd:simpleType>
        <xsd:restriction base="dms:Choice">
          <xsd:enumeration value="Published"/>
          <xsd:enumeration value="Updated"/>
          <xsd:enumeration value="In-Progress"/>
          <xsd:enumeration value="Change Request"/>
          <xsd:enumeration value="NEW Use case"/>
          <xsd:enumeration value="ON HOLD"/>
        </xsd:restriction>
      </xsd:simpleType>
    </xsd:element>
    <xsd:element name="Releasedate" ma:index="28" nillable="true" ma:displayName="Release date" ma:format="DateTime" ma:internalName="Release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a3d7be8-611a-453e-9513-7f7966296ebc">
      <Terms xmlns="http://schemas.microsoft.com/office/infopath/2007/PartnerControls"/>
    </lcf76f155ced4ddcb4097134ff3c332f>
    <TaxCatchAll xmlns="cf32ca27-b812-4875-9172-aeddc60e1a0d" xsi:nil="true"/>
    <Notes xmlns="7a3d7be8-611a-453e-9513-7f7966296ebc" xsi:nil="true"/>
    <Lastupdate xmlns="7a3d7be8-611a-453e-9513-7f7966296ebc" xsi:nil="true"/>
    <Releasedate xmlns="7a3d7be8-611a-453e-9513-7f7966296ebc" xsi:nil="true"/>
    <Status xmlns="7a3d7be8-611a-453e-9513-7f7966296ebc" xsi:nil="true"/>
    <Architecture xmlns="7a3d7be8-611a-453e-9513-7f7966296ebc"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3A3AABA-90A6-44FF-A7B0-AB59B9AFB99D}">
  <ds:schemaRefs>
    <ds:schemaRef ds:uri="http://schemas.microsoft.com/DataMashup"/>
  </ds:schemaRefs>
</ds:datastoreItem>
</file>

<file path=customXml/itemProps2.xml><?xml version="1.0" encoding="utf-8"?>
<ds:datastoreItem xmlns:ds="http://schemas.openxmlformats.org/officeDocument/2006/customXml" ds:itemID="{8E0ABF9F-0BDC-4964-83DF-C20D5CD8ABB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f32ca27-b812-4875-9172-aeddc60e1a0d"/>
    <ds:schemaRef ds:uri="7a3d7be8-611a-453e-9513-7f7966296eb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F8FDE19-8EB6-466A-944B-38F4818BECE5}">
  <ds:schemaRefs>
    <ds:schemaRef ds:uri="http://purl.org/dc/terms/"/>
    <ds:schemaRef ds:uri="http://schemas.microsoft.com/office/2006/documentManagement/types"/>
    <ds:schemaRef ds:uri="http://schemas.microsoft.com/office/2006/metadata/properties"/>
    <ds:schemaRef ds:uri="cf32ca27-b812-4875-9172-aeddc60e1a0d"/>
    <ds:schemaRef ds:uri="http://www.w3.org/XML/1998/namespace"/>
    <ds:schemaRef ds:uri="http://schemas.microsoft.com/office/infopath/2007/PartnerControls"/>
    <ds:schemaRef ds:uri="http://purl.org/dc/dcmitype/"/>
    <ds:schemaRef ds:uri="http://schemas.openxmlformats.org/package/2006/metadata/core-properties"/>
    <ds:schemaRef ds:uri="7a3d7be8-611a-453e-9513-7f7966296ebc"/>
    <ds:schemaRef ds:uri="http://purl.org/dc/elements/1.1/"/>
  </ds:schemaRefs>
</ds:datastoreItem>
</file>

<file path=customXml/itemProps4.xml><?xml version="1.0" encoding="utf-8"?>
<ds:datastoreItem xmlns:ds="http://schemas.openxmlformats.org/officeDocument/2006/customXml" ds:itemID="{AA5C7A01-C6CA-401C-B251-629B67F30DBB}">
  <ds:schemaRefs>
    <ds:schemaRef ds:uri="http://schemas.microsoft.com/sharepoint/v3/contenttype/forms"/>
  </ds:schemaRefs>
</ds:datastoreItem>
</file>

<file path=docMetadata/LabelInfo.xml><?xml version="1.0" encoding="utf-8"?>
<clbl:labelList xmlns:clbl="http://schemas.microsoft.com/office/2020/mipLabelMetadata">
  <clbl:label id="{c8f49a32-fde3-48a5-9266-b5b0972a22dc}" enabled="1" method="Standard" siteId="{5ae1af62-9505-4097-a69a-c1553ef7840e}"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42</vt:i4>
      </vt:variant>
    </vt:vector>
  </HeadingPairs>
  <TitlesOfParts>
    <vt:vector size="53" baseType="lpstr">
      <vt:lpstr>Instructions</vt:lpstr>
      <vt:lpstr>Overview</vt:lpstr>
      <vt:lpstr>Details</vt:lpstr>
      <vt:lpstr>Customer</vt:lpstr>
      <vt:lpstr>PVI</vt:lpstr>
      <vt:lpstr>Lifecycle</vt:lpstr>
      <vt:lpstr>CPI Adopt</vt:lpstr>
      <vt:lpstr>Source</vt:lpstr>
      <vt:lpstr>Data</vt:lpstr>
      <vt:lpstr>Ref</vt:lpstr>
      <vt:lpstr>Disclaimer</vt:lpstr>
      <vt:lpstr>Cloud_adopt_perc</vt:lpstr>
      <vt:lpstr>Cloud_adopt_score</vt:lpstr>
      <vt:lpstr>Cloud_onboard_perc</vt:lpstr>
      <vt:lpstr>Cloud_onboard_score</vt:lpstr>
      <vt:lpstr>CRPartyName_ID</vt:lpstr>
      <vt:lpstr>Customer_CRParty</vt:lpstr>
      <vt:lpstr>dashboard_status</vt:lpstr>
      <vt:lpstr>Domain</vt:lpstr>
      <vt:lpstr>Fiscal_Month</vt:lpstr>
      <vt:lpstr>FiscalDates</vt:lpstr>
      <vt:lpstr>FiscalMonthCount</vt:lpstr>
      <vt:lpstr>FiscalMonthEnd</vt:lpstr>
      <vt:lpstr>FiscalMonthStart</vt:lpstr>
      <vt:lpstr>Input_BEGEOID</vt:lpstr>
      <vt:lpstr>Input_region</vt:lpstr>
      <vt:lpstr>Input_week</vt:lpstr>
      <vt:lpstr>Latest_booking_date</vt:lpstr>
      <vt:lpstr>Max_rows</vt:lpstr>
      <vt:lpstr>Net_adopt_perc</vt:lpstr>
      <vt:lpstr>Net_Adopt_score</vt:lpstr>
      <vt:lpstr>Net_onboard_perc</vt:lpstr>
      <vt:lpstr>Net_Onboard_score</vt:lpstr>
      <vt:lpstr>Offer</vt:lpstr>
      <vt:lpstr>Output_partnername</vt:lpstr>
      <vt:lpstr>Sec_adopt_perc</vt:lpstr>
      <vt:lpstr>Sec_adopt_score</vt:lpstr>
      <vt:lpstr>Sec_onboard_perc</vt:lpstr>
      <vt:lpstr>Sec_onboard_score</vt:lpstr>
      <vt:lpstr>target_adopt_cloud</vt:lpstr>
      <vt:lpstr>target_adopt_net</vt:lpstr>
      <vt:lpstr>target_adopt_sec</vt:lpstr>
      <vt:lpstr>target_booking_adopt_cloud</vt:lpstr>
      <vt:lpstr>target_booking_adopt_net</vt:lpstr>
      <vt:lpstr>target_booking_adopt_sec</vt:lpstr>
      <vt:lpstr>target_booking_onboard_cloud</vt:lpstr>
      <vt:lpstr>target_booking_onboard_net</vt:lpstr>
      <vt:lpstr>target_booking_onboard_sec</vt:lpstr>
      <vt:lpstr>target_onboard_cloud</vt:lpstr>
      <vt:lpstr>target_onboard_net</vt:lpstr>
      <vt:lpstr>target_onboard_sec</vt:lpstr>
      <vt:lpstr>UseCase</vt:lpstr>
      <vt:lpstr>Weeks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Marc Khayat (makhayat)</dc:creator>
  <cp:keywords/>
  <dc:description/>
  <cp:lastModifiedBy>Marc Khayat (makhayat)</cp:lastModifiedBy>
  <cp:revision/>
  <dcterms:created xsi:type="dcterms:W3CDTF">2025-10-10T08:44:28Z</dcterms:created>
  <dcterms:modified xsi:type="dcterms:W3CDTF">2026-05-25T17:21:54Z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c8f49a32-fde3-48a5-9266-b5b0972a22dc_Enabled">
    <vt:lpwstr>true</vt:lpwstr>
  </property>
  <property fmtid="{D5CDD505-2E9C-101B-9397-08002B2CF9AE}" pid="3" name="MSIP_Label_c8f49a32-fde3-48a5-9266-b5b0972a22dc_SetDate">
    <vt:lpwstr>2025-10-10T08:55:41Z</vt:lpwstr>
  </property>
  <property fmtid="{D5CDD505-2E9C-101B-9397-08002B2CF9AE}" pid="4" name="MSIP_Label_c8f49a32-fde3-48a5-9266-b5b0972a22dc_Method">
    <vt:lpwstr>Standard</vt:lpwstr>
  </property>
  <property fmtid="{D5CDD505-2E9C-101B-9397-08002B2CF9AE}" pid="5" name="MSIP_Label_c8f49a32-fde3-48a5-9266-b5b0972a22dc_Name">
    <vt:lpwstr>Cisco Confidential</vt:lpwstr>
  </property>
  <property fmtid="{D5CDD505-2E9C-101B-9397-08002B2CF9AE}" pid="6" name="MSIP_Label_c8f49a32-fde3-48a5-9266-b5b0972a22dc_SiteId">
    <vt:lpwstr>5ae1af62-9505-4097-a69a-c1553ef7840e</vt:lpwstr>
  </property>
  <property fmtid="{D5CDD505-2E9C-101B-9397-08002B2CF9AE}" pid="7" name="MSIP_Label_c8f49a32-fde3-48a5-9266-b5b0972a22dc_ActionId">
    <vt:lpwstr>edb7e162-da45-4108-b0b6-a9c33e6b8323</vt:lpwstr>
  </property>
  <property fmtid="{D5CDD505-2E9C-101B-9397-08002B2CF9AE}" pid="8" name="MSIP_Label_c8f49a32-fde3-48a5-9266-b5b0972a22dc_ContentBits">
    <vt:lpwstr>2</vt:lpwstr>
  </property>
  <property fmtid="{D5CDD505-2E9C-101B-9397-08002B2CF9AE}" pid="9" name="MSIP_Label_c8f49a32-fde3-48a5-9266-b5b0972a22dc_Tag">
    <vt:lpwstr>10, 3, 0, 1</vt:lpwstr>
  </property>
  <property fmtid="{D5CDD505-2E9C-101B-9397-08002B2CF9AE}" pid="10" name="ContentTypeId">
    <vt:lpwstr>0x010100972687846466154AB4D9CA5FA0963316</vt:lpwstr>
  </property>
  <property fmtid="{D5CDD505-2E9C-101B-9397-08002B2CF9AE}" pid="11" name="MediaServiceImageTags">
    <vt:lpwstr/>
  </property>
</Properties>
</file>